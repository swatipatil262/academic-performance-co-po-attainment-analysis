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charts/chart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filterPrivacy="1" defaultThemeVersion="124226"/>
  <xr:revisionPtr revIDLastSave="0" documentId="13_ncr:1_{173D2D02-447D-4AE8-83A3-3E2941AD9118}" xr6:coauthVersionLast="47" xr6:coauthVersionMax="47" xr10:uidLastSave="{00000000-0000-0000-0000-000000000000}"/>
  <bookViews>
    <workbookView xWindow="28680" yWindow="-120" windowWidth="29040" windowHeight="15720" activeTab="7" xr2:uid="{00000000-000D-0000-FFFF-FFFF00000000}"/>
  </bookViews>
  <sheets>
    <sheet name="README" sheetId="17" r:id="rId1"/>
    <sheet name="Teaching and Evaluation Scheme" sheetId="16" r:id="rId2"/>
    <sheet name="CO_PO_Matrix" sheetId="20" r:id="rId3"/>
    <sheet name="CO_PO_Mapping" sheetId="7" r:id="rId4"/>
    <sheet name="Rubrics" sheetId="15" state="hidden" r:id="rId5"/>
    <sheet name="RAW" sheetId="8" state="hidden" r:id="rId6"/>
    <sheet name="CO_Attainment" sheetId="18" r:id="rId7"/>
    <sheet name="Action_Taken " sheetId="21" r:id="rId8"/>
    <sheet name="Dashboard" sheetId="23" r:id="rId9"/>
    <sheet name="Sheet2" sheetId="19" state="hidden" r:id="rId10"/>
    <sheet name="ATTAINMENT" sheetId="9" state="hidden" r:id="rId11"/>
    <sheet name="Observation and action taken" sheetId="14" state="hidden" r:id="rId12"/>
  </sheets>
  <definedNames>
    <definedName name="_xlnm._FilterDatabase" localSheetId="2" hidden="1">CO_PO_Matrix!$B$11:$C$15</definedName>
    <definedName name="_xlnm.Print_Area" localSheetId="10">ATTAINMENT!$A$1:$Q$65</definedName>
    <definedName name="_xlnm.Print_Area" localSheetId="3">CO_PO_Mapping!$T$1:$AU$46</definedName>
    <definedName name="_xlnm.Print_Area" localSheetId="11">'Observation and action taken'!$A$1:$Q$37</definedName>
    <definedName name="_xlnm.Print_Area" localSheetId="5">RAW!$A$1:$O$87</definedName>
    <definedName name="_xlnm.Print_Area" localSheetId="4">Rubrics!$A$2:$E$17</definedName>
    <definedName name="_xlnm.Print_Area" localSheetId="1">'Teaching and Evaluation Scheme'!$B$1:$C$11</definedName>
    <definedName name="_xlnm.Print_Titles" localSheetId="5">RAW!$2:$12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23" l="1"/>
  <c r="A5" i="23"/>
  <c r="D5" i="23"/>
  <c r="AO8" i="18"/>
  <c r="AO7" i="18"/>
  <c r="AO6" i="18"/>
  <c r="AN9" i="18"/>
  <c r="AN5" i="18"/>
  <c r="R20" i="7" l="1"/>
  <c r="Q20" i="7"/>
  <c r="Q69" i="20" l="1"/>
  <c r="Q61" i="20"/>
  <c r="Q60" i="20"/>
  <c r="Q59" i="20"/>
  <c r="Q58" i="20"/>
  <c r="Q52" i="20"/>
  <c r="Q51" i="20"/>
  <c r="Q48" i="20"/>
  <c r="Q42" i="20"/>
  <c r="Q43" i="20"/>
  <c r="Q39" i="20"/>
  <c r="Q34" i="20"/>
  <c r="Q33" i="20"/>
  <c r="Q32" i="20"/>
  <c r="Q31" i="20"/>
  <c r="Q30" i="20"/>
  <c r="Q25" i="20"/>
  <c r="Q24" i="20"/>
  <c r="Q23" i="20"/>
  <c r="Q22" i="20"/>
  <c r="Q21" i="20"/>
  <c r="I21" i="21" l="1"/>
  <c r="I20" i="21"/>
  <c r="I19" i="21"/>
  <c r="I18" i="21"/>
  <c r="I17" i="21"/>
  <c r="I13" i="21"/>
  <c r="I25" i="21" s="1"/>
  <c r="I22" i="21" l="1"/>
  <c r="I26" i="21" s="1"/>
  <c r="I27" i="21" s="1"/>
  <c r="B53" i="21" s="1"/>
  <c r="I15" i="7"/>
  <c r="K104" i="20"/>
  <c r="AI17" i="18" l="1"/>
  <c r="AE17" i="18"/>
  <c r="AF17" i="18"/>
  <c r="AG17" i="18"/>
  <c r="AH17" i="18"/>
  <c r="AD17" i="18"/>
  <c r="AB17" i="18"/>
  <c r="X17" i="18"/>
  <c r="Y17" i="18"/>
  <c r="Z17" i="18"/>
  <c r="W17" i="18"/>
  <c r="M17" i="18"/>
  <c r="N17" i="18"/>
  <c r="O17" i="18"/>
  <c r="L17" i="18"/>
  <c r="C13" i="21" l="1"/>
  <c r="D13" i="21"/>
  <c r="E13" i="21"/>
  <c r="F13" i="21"/>
  <c r="G13" i="21"/>
  <c r="H13" i="21"/>
  <c r="B13" i="21"/>
  <c r="AY2" i="18"/>
  <c r="AS6" i="18"/>
  <c r="AD16" i="18"/>
  <c r="AE16" i="18"/>
  <c r="AF16" i="18"/>
  <c r="AG16" i="18"/>
  <c r="AH16" i="18"/>
  <c r="AI16" i="18"/>
  <c r="G15" i="18"/>
  <c r="H15" i="18"/>
  <c r="I15" i="18"/>
  <c r="J15" i="18"/>
  <c r="K15" i="18"/>
  <c r="L15" i="18"/>
  <c r="M15" i="18"/>
  <c r="N15" i="18"/>
  <c r="O15" i="18"/>
  <c r="Q15" i="18"/>
  <c r="R15" i="18"/>
  <c r="S15" i="18"/>
  <c r="T15" i="18"/>
  <c r="U15" i="18"/>
  <c r="V15" i="18"/>
  <c r="W15" i="18"/>
  <c r="X15" i="18"/>
  <c r="Y15" i="18"/>
  <c r="Z15" i="18"/>
  <c r="AB15" i="18"/>
  <c r="AD15" i="18"/>
  <c r="AE15" i="18"/>
  <c r="AF15" i="18"/>
  <c r="AG15" i="18"/>
  <c r="AH15" i="18"/>
  <c r="AI15" i="18"/>
  <c r="F15" i="18"/>
  <c r="U33" i="7" l="1"/>
  <c r="U24" i="7"/>
  <c r="U23" i="7"/>
  <c r="U37" i="7" s="1"/>
  <c r="U22" i="7"/>
  <c r="U36" i="7" s="1"/>
  <c r="U21" i="7"/>
  <c r="U35" i="7" s="1"/>
  <c r="U20" i="7"/>
  <c r="U34" i="7" s="1"/>
  <c r="H15" i="7"/>
  <c r="G15" i="7"/>
  <c r="F15" i="7"/>
  <c r="E15" i="7"/>
  <c r="D15" i="7"/>
  <c r="C15" i="7"/>
  <c r="B15" i="7"/>
  <c r="AK14" i="7"/>
  <c r="AJ14" i="7"/>
  <c r="AI14" i="7"/>
  <c r="AH14" i="7"/>
  <c r="AG14" i="7"/>
  <c r="AF14" i="7"/>
  <c r="AE14" i="7"/>
  <c r="AD14" i="7"/>
  <c r="AC14" i="7"/>
  <c r="AB14" i="7"/>
  <c r="AA14" i="7"/>
  <c r="X14" i="7"/>
  <c r="W14" i="7"/>
  <c r="V14" i="7"/>
  <c r="U14" i="7"/>
  <c r="J104" i="20"/>
  <c r="G104" i="20"/>
  <c r="E104" i="20"/>
  <c r="D104" i="20"/>
  <c r="F104" i="20"/>
  <c r="Q70" i="20"/>
  <c r="Q66" i="20"/>
  <c r="H104" i="20" l="1"/>
  <c r="I104" i="20"/>
  <c r="G17" i="18"/>
  <c r="H17" i="18"/>
  <c r="I17" i="18"/>
  <c r="J17" i="18"/>
  <c r="K17" i="18"/>
  <c r="Q17" i="18"/>
  <c r="R17" i="18"/>
  <c r="S17" i="18"/>
  <c r="T17" i="18"/>
  <c r="U17" i="18"/>
  <c r="V17" i="18"/>
  <c r="G16" i="18"/>
  <c r="H16" i="18"/>
  <c r="I16" i="18"/>
  <c r="J16" i="18"/>
  <c r="K16" i="18"/>
  <c r="L16" i="18"/>
  <c r="M16" i="18"/>
  <c r="N16" i="18"/>
  <c r="O16" i="18"/>
  <c r="Q16" i="18"/>
  <c r="R16" i="18"/>
  <c r="S16" i="18"/>
  <c r="T16" i="18"/>
  <c r="U16" i="18"/>
  <c r="V16" i="18"/>
  <c r="W16" i="18"/>
  <c r="X16" i="18"/>
  <c r="Y16" i="18"/>
  <c r="Z16" i="18"/>
  <c r="AB16" i="18"/>
  <c r="F17" i="18"/>
  <c r="F16" i="18"/>
  <c r="AS5" i="18" l="1"/>
  <c r="AI18" i="18" l="1"/>
  <c r="F18" i="18"/>
  <c r="E25" i="21" l="1"/>
  <c r="F25" i="21"/>
  <c r="E17" i="21"/>
  <c r="G17" i="21"/>
  <c r="H17" i="21"/>
  <c r="F18" i="21"/>
  <c r="G18" i="21"/>
  <c r="H18" i="21"/>
  <c r="H19" i="21"/>
  <c r="E20" i="21"/>
  <c r="G20" i="21"/>
  <c r="H20" i="21"/>
  <c r="E21" i="21"/>
  <c r="F21" i="21"/>
  <c r="G21" i="21"/>
  <c r="H21" i="21"/>
  <c r="C17" i="21"/>
  <c r="C18" i="21"/>
  <c r="C20" i="21"/>
  <c r="D20" i="21"/>
  <c r="C21" i="21"/>
  <c r="D21" i="21"/>
  <c r="B21" i="21"/>
  <c r="B20" i="21"/>
  <c r="B19" i="21"/>
  <c r="B18" i="21"/>
  <c r="B17" i="21"/>
  <c r="AS9" i="18"/>
  <c r="AS8" i="18"/>
  <c r="B22" i="21" l="1"/>
  <c r="AS7" i="18"/>
  <c r="AT7" i="18" s="1"/>
  <c r="F22" i="21"/>
  <c r="F26" i="21" s="1"/>
  <c r="F27" i="21" s="1"/>
  <c r="B50" i="21" s="1"/>
  <c r="H22" i="21"/>
  <c r="H26" i="21" s="1"/>
  <c r="E22" i="21"/>
  <c r="E26" i="21" s="1"/>
  <c r="E27" i="21" s="1"/>
  <c r="B49" i="21" s="1"/>
  <c r="G22" i="21"/>
  <c r="G26" i="21" s="1"/>
  <c r="AV6" i="18"/>
  <c r="AV7" i="18"/>
  <c r="AV8" i="18"/>
  <c r="AV9" i="18"/>
  <c r="AV5" i="18"/>
  <c r="D22" i="21" l="1"/>
  <c r="D26" i="21" s="1"/>
  <c r="C22" i="21"/>
  <c r="C26" i="21" s="1"/>
  <c r="B26" i="21"/>
  <c r="H25" i="21"/>
  <c r="H27" i="21" s="1"/>
  <c r="B52" i="21" s="1"/>
  <c r="G25" i="21"/>
  <c r="G27" i="21" s="1"/>
  <c r="B51" i="21" s="1"/>
  <c r="D25" i="21"/>
  <c r="C25" i="21"/>
  <c r="B25" i="21"/>
  <c r="B27" i="21" l="1"/>
  <c r="B46" i="21" s="1"/>
  <c r="C27" i="21"/>
  <c r="B47" i="21" s="1"/>
  <c r="D27" i="21"/>
  <c r="B48" i="21" s="1"/>
  <c r="AH18" i="18"/>
  <c r="AE18" i="18"/>
  <c r="AF18" i="18"/>
  <c r="AG18" i="18"/>
  <c r="AD18" i="18"/>
  <c r="D19" i="16"/>
  <c r="AT6" i="18" l="1"/>
  <c r="AW6" i="18" s="1"/>
  <c r="AW7" i="18"/>
  <c r="AT8" i="18"/>
  <c r="AW8" i="18" s="1"/>
  <c r="AT9" i="18"/>
  <c r="AW9" i="18" s="1"/>
  <c r="AT5" i="18"/>
  <c r="AW5" i="18" s="1"/>
  <c r="AS10" i="18" l="1"/>
  <c r="AY3" i="18" s="1"/>
  <c r="I18" i="18" l="1"/>
  <c r="M18" i="18"/>
  <c r="Q18" i="18"/>
  <c r="U18" i="18"/>
  <c r="Y18" i="18"/>
  <c r="H18" i="18"/>
  <c r="L18" i="18"/>
  <c r="T18" i="18"/>
  <c r="X18" i="18"/>
  <c r="AB18" i="18"/>
  <c r="J18" i="18"/>
  <c r="N18" i="18"/>
  <c r="R18" i="18"/>
  <c r="V18" i="18"/>
  <c r="Z18" i="18"/>
  <c r="G18" i="18"/>
  <c r="K18" i="18"/>
  <c r="O18" i="18"/>
  <c r="S18" i="18"/>
  <c r="W18" i="18"/>
  <c r="A14" i="9"/>
  <c r="A15" i="9"/>
  <c r="A16" i="9"/>
  <c r="A17" i="9"/>
  <c r="A18" i="9"/>
  <c r="A19" i="9"/>
  <c r="P15" i="9"/>
  <c r="P16" i="9"/>
  <c r="P17" i="9"/>
  <c r="P18" i="9"/>
  <c r="P19" i="9"/>
  <c r="H4" i="8"/>
  <c r="N10" i="8"/>
  <c r="O10" i="8"/>
  <c r="E12" i="14"/>
  <c r="F12" i="14"/>
  <c r="G12" i="14"/>
  <c r="H12" i="14"/>
  <c r="I12" i="14"/>
  <c r="B27" i="14" s="1"/>
  <c r="G4" i="9" l="1"/>
  <c r="C19" i="9" s="1"/>
  <c r="F4" i="9"/>
  <c r="C18" i="9" s="1"/>
  <c r="E4" i="9"/>
  <c r="C17" i="9" s="1"/>
  <c r="D4" i="9"/>
  <c r="B16" i="9" s="1"/>
  <c r="C4" i="9"/>
  <c r="B15" i="9" s="1"/>
  <c r="B4" i="9"/>
  <c r="B14" i="9" s="1"/>
  <c r="G3" i="9"/>
  <c r="F3" i="9"/>
  <c r="E3" i="9"/>
  <c r="D3" i="9"/>
  <c r="C3" i="9"/>
  <c r="B3" i="9"/>
  <c r="G10" i="8" l="1"/>
  <c r="F10" i="8"/>
  <c r="E10" i="8"/>
  <c r="D10" i="8" l="1"/>
  <c r="C10" i="8"/>
  <c r="B10" i="8"/>
  <c r="C9" i="8"/>
  <c r="D9" i="8"/>
  <c r="E9" i="8"/>
  <c r="E11" i="8" s="1"/>
  <c r="F9" i="8"/>
  <c r="F11" i="8" s="1"/>
  <c r="G9" i="8"/>
  <c r="G11" i="8" s="1"/>
  <c r="B9" i="8"/>
  <c r="B11" i="8" s="1"/>
  <c r="C7" i="8"/>
  <c r="D7" i="8"/>
  <c r="E7" i="8"/>
  <c r="F7" i="8"/>
  <c r="G7" i="8"/>
  <c r="B7" i="8"/>
  <c r="C11" i="8" l="1"/>
  <c r="D11" i="8"/>
  <c r="H30" i="9"/>
  <c r="I30" i="9"/>
  <c r="L30" i="9"/>
  <c r="M30" i="9"/>
  <c r="N4" i="9" l="1"/>
  <c r="L19" i="9" s="1"/>
  <c r="N3" i="9"/>
  <c r="M10" i="8"/>
  <c r="M9" i="8"/>
  <c r="M7" i="8"/>
  <c r="M8" i="8" s="1"/>
  <c r="A29" i="9"/>
  <c r="M11" i="8" l="1"/>
  <c r="M5" i="14" l="1"/>
  <c r="F5" i="14"/>
  <c r="G5" i="14"/>
  <c r="M12" i="14" l="1"/>
  <c r="B29" i="14" s="1"/>
  <c r="B24" i="14"/>
  <c r="B25" i="14"/>
  <c r="H10" i="8" l="1"/>
  <c r="I10" i="8"/>
  <c r="J10" i="8"/>
  <c r="K10" i="8"/>
  <c r="L10" i="8"/>
  <c r="H9" i="8"/>
  <c r="I9" i="8"/>
  <c r="J9" i="8"/>
  <c r="K9" i="8"/>
  <c r="L9" i="8"/>
  <c r="N9" i="8"/>
  <c r="O9" i="8"/>
  <c r="P13" i="9" l="1"/>
  <c r="M13" i="9"/>
  <c r="Q13" i="9" l="1"/>
  <c r="Q5" i="14"/>
  <c r="Q12" i="14"/>
  <c r="B31" i="14" s="1"/>
  <c r="L5" i="14"/>
  <c r="P5" i="14"/>
  <c r="H5" i="14"/>
  <c r="E5" i="14"/>
  <c r="D5" i="14"/>
  <c r="B23" i="14" l="1"/>
  <c r="B26" i="14"/>
  <c r="L12" i="14"/>
  <c r="B28" i="14" s="1"/>
  <c r="P12" i="14"/>
  <c r="B30" i="14" s="1"/>
  <c r="D12" i="14"/>
  <c r="B22" i="14" s="1"/>
  <c r="I4" i="8" l="1"/>
  <c r="J4" i="8"/>
  <c r="K4" i="8"/>
  <c r="L4" i="8"/>
  <c r="H7" i="8" l="1"/>
  <c r="I7" i="8"/>
  <c r="J7" i="8"/>
  <c r="K7" i="8"/>
  <c r="L7" i="8"/>
  <c r="N7" i="8"/>
  <c r="O7" i="8"/>
  <c r="L8" i="9" l="1"/>
  <c r="N14" i="9" s="1"/>
  <c r="P14" i="9" s="1"/>
  <c r="B2" i="8" l="1"/>
  <c r="J8" i="8"/>
  <c r="K8" i="8"/>
  <c r="L8" i="8"/>
  <c r="H8" i="8"/>
  <c r="I8" i="8"/>
  <c r="N8" i="8"/>
  <c r="O8" i="8"/>
  <c r="H11" i="8"/>
  <c r="I11" i="8"/>
  <c r="L11" i="8"/>
  <c r="N11" i="8"/>
  <c r="J11" i="8"/>
  <c r="K11" i="8"/>
  <c r="O11" i="8"/>
  <c r="J8" i="9" l="1"/>
  <c r="L7" i="9"/>
  <c r="K15" i="9" l="1"/>
  <c r="K17" i="9"/>
  <c r="K19" i="9"/>
  <c r="M19" i="9" s="1"/>
  <c r="Q19" i="9" s="1"/>
  <c r="K14" i="9"/>
  <c r="K16" i="9"/>
  <c r="K18" i="9"/>
  <c r="I3" i="9"/>
  <c r="J3" i="9"/>
  <c r="K3" i="9"/>
  <c r="L3" i="9"/>
  <c r="M3" i="9"/>
  <c r="A1" i="9" l="1"/>
  <c r="A30" i="9"/>
  <c r="L4" i="9" l="1"/>
  <c r="L17" i="9" s="1"/>
  <c r="M17" i="9" s="1"/>
  <c r="Q17" i="9" s="1"/>
  <c r="J4" i="9"/>
  <c r="L15" i="9" s="1"/>
  <c r="M15" i="9" s="1"/>
  <c r="Q15" i="9" s="1"/>
  <c r="M4" i="9"/>
  <c r="L18" i="9" s="1"/>
  <c r="M18" i="9" s="1"/>
  <c r="Q18" i="9" s="1"/>
  <c r="K4" i="9"/>
  <c r="L16" i="9" s="1"/>
  <c r="M16" i="9" s="1"/>
  <c r="Q16" i="9" s="1"/>
  <c r="I4" i="9"/>
  <c r="L14" i="9" s="1"/>
  <c r="M14" i="9" s="1"/>
  <c r="Q14" i="9" s="1"/>
  <c r="C24" i="9" l="1"/>
  <c r="G27" i="9"/>
  <c r="G25" i="9"/>
  <c r="G29" i="9"/>
  <c r="G28" i="9"/>
  <c r="G26" i="9"/>
  <c r="A28" i="9"/>
  <c r="A25" i="9"/>
  <c r="A24" i="9"/>
  <c r="A26" i="9"/>
  <c r="A27" i="9"/>
  <c r="G30" i="9" l="1"/>
  <c r="N25" i="9"/>
  <c r="F25" i="9"/>
  <c r="O25" i="9"/>
  <c r="C25" i="9"/>
  <c r="J25" i="9"/>
  <c r="D25" i="9"/>
  <c r="K25" i="9"/>
  <c r="E25" i="9"/>
  <c r="N27" i="9"/>
  <c r="F27" i="9"/>
  <c r="O27" i="9"/>
  <c r="C27" i="9"/>
  <c r="J27" i="9"/>
  <c r="D27" i="9"/>
  <c r="K27" i="9"/>
  <c r="E27" i="9"/>
  <c r="N29" i="9"/>
  <c r="O29" i="9"/>
  <c r="C29" i="9"/>
  <c r="J29" i="9"/>
  <c r="B29" i="9"/>
  <c r="D29" i="9"/>
  <c r="K29" i="9"/>
  <c r="E29" i="9"/>
  <c r="F29" i="9"/>
  <c r="E26" i="9"/>
  <c r="N26" i="9"/>
  <c r="F26" i="9"/>
  <c r="C26" i="9"/>
  <c r="J26" i="9"/>
  <c r="D26" i="9"/>
  <c r="K26" i="9"/>
  <c r="O26" i="9"/>
  <c r="N28" i="9"/>
  <c r="O28" i="9"/>
  <c r="C28" i="9"/>
  <c r="J28" i="9"/>
  <c r="D28" i="9"/>
  <c r="K28" i="9"/>
  <c r="B28" i="9"/>
  <c r="E28" i="9"/>
  <c r="F28" i="9"/>
  <c r="B27" i="9"/>
  <c r="B24" i="9"/>
  <c r="B26" i="9"/>
  <c r="C30" i="9" l="1"/>
  <c r="K30" i="9"/>
  <c r="O30" i="9"/>
  <c r="D30" i="9"/>
  <c r="F30" i="9"/>
  <c r="J30" i="9"/>
  <c r="N30" i="9"/>
  <c r="E30" i="9"/>
  <c r="B25" i="9"/>
  <c r="B30" i="9" s="1"/>
</calcChain>
</file>

<file path=xl/sharedStrings.xml><?xml version="1.0" encoding="utf-8"?>
<sst xmlns="http://schemas.openxmlformats.org/spreadsheetml/2006/main" count="1449" uniqueCount="816">
  <si>
    <t>CO</t>
  </si>
  <si>
    <t>Attainment levels</t>
  </si>
  <si>
    <t>Level 1</t>
  </si>
  <si>
    <t>Level 2</t>
  </si>
  <si>
    <t>Level 3</t>
  </si>
  <si>
    <t>A.Y</t>
  </si>
  <si>
    <t>course code</t>
  </si>
  <si>
    <t>PO</t>
  </si>
  <si>
    <t>PSO</t>
  </si>
  <si>
    <t>CO-PO/PSO Mapping</t>
  </si>
  <si>
    <t>-</t>
  </si>
  <si>
    <t>CO Assessment tools</t>
  </si>
  <si>
    <t>CE</t>
  </si>
  <si>
    <t>TOTAL</t>
  </si>
  <si>
    <t>UE</t>
  </si>
  <si>
    <t>Y</t>
  </si>
  <si>
    <t>Equal weight to all CO</t>
  </si>
  <si>
    <t>Direct (based on marks)</t>
  </si>
  <si>
    <t>INDIRECT (based on rubric)</t>
  </si>
  <si>
    <t>ALL CO</t>
  </si>
  <si>
    <t>TARGET</t>
  </si>
  <si>
    <t>Attainement</t>
  </si>
  <si>
    <t>% Students &gt; target</t>
  </si>
  <si>
    <t>Maximum marks</t>
  </si>
  <si>
    <t>Target(threshold)  marks</t>
  </si>
  <si>
    <t>Final target</t>
  </si>
  <si>
    <t>Statements</t>
  </si>
  <si>
    <t>Course</t>
  </si>
  <si>
    <t>Final CO-PO Attainment for Course</t>
  </si>
  <si>
    <t>No. of Students &gt; target</t>
  </si>
  <si>
    <t>Final CO-PSO Attainment for Course</t>
  </si>
  <si>
    <t>TW</t>
  </si>
  <si>
    <t>Class and Div</t>
  </si>
  <si>
    <t>Faculty</t>
  </si>
  <si>
    <t>CO/PO</t>
  </si>
  <si>
    <t>PO1</t>
  </si>
  <si>
    <t>PO2</t>
  </si>
  <si>
    <t>PO3</t>
  </si>
  <si>
    <t>PO4</t>
  </si>
  <si>
    <t>PO5</t>
  </si>
  <si>
    <t>PO6</t>
  </si>
  <si>
    <t>PO7</t>
  </si>
  <si>
    <t>PO8</t>
  </si>
  <si>
    <t>PO9</t>
  </si>
  <si>
    <t>PO10</t>
  </si>
  <si>
    <t>PO11</t>
  </si>
  <si>
    <t>PO12</t>
  </si>
  <si>
    <t>PSO1</t>
  </si>
  <si>
    <t>PSO2</t>
  </si>
  <si>
    <t>Target</t>
  </si>
  <si>
    <t>Attained</t>
  </si>
  <si>
    <t>% Attainment</t>
  </si>
  <si>
    <t>Attainment Level</t>
  </si>
  <si>
    <t>Moderately achieved</t>
  </si>
  <si>
    <t>Level</t>
  </si>
  <si>
    <t>Criteria</t>
  </si>
  <si>
    <t>Performance Levels</t>
  </si>
  <si>
    <t>Lab Performance</t>
  </si>
  <si>
    <r>
      <t>ü</t>
    </r>
    <r>
      <rPr>
        <sz val="7"/>
        <color theme="1"/>
        <rFont val="Times New Roman"/>
        <family val="1"/>
      </rPr>
      <t xml:space="preserve">  </t>
    </r>
    <r>
      <rPr>
        <sz val="11"/>
        <color rgb="FF000000"/>
        <rFont val="Times New Roman"/>
        <family val="1"/>
      </rPr>
      <t>Rarely able to give contribution during lab performance.</t>
    </r>
  </si>
  <si>
    <r>
      <t>ü</t>
    </r>
    <r>
      <rPr>
        <sz val="7"/>
        <color rgb="FF000000"/>
        <rFont val="Times New Roman"/>
        <family val="1"/>
      </rPr>
      <t xml:space="preserve">  </t>
    </r>
    <r>
      <rPr>
        <sz val="11"/>
        <color rgb="FF000000"/>
        <rFont val="Times New Roman"/>
        <family val="1"/>
      </rPr>
      <t>Never able to contribute for lab Performances.</t>
    </r>
  </si>
  <si>
    <t>(10 Marks)</t>
  </si>
  <si>
    <r>
      <t>ü</t>
    </r>
    <r>
      <rPr>
        <sz val="7"/>
        <color theme="1"/>
        <rFont val="Times New Roman"/>
        <family val="1"/>
      </rPr>
      <t xml:space="preserve">  </t>
    </r>
    <r>
      <rPr>
        <sz val="11"/>
        <color rgb="FF000000"/>
        <rFont val="Times New Roman"/>
        <family val="1"/>
      </rPr>
      <t xml:space="preserve"> Not able to complete assignment / write up submission within stipulated time.</t>
    </r>
  </si>
  <si>
    <r>
      <t>ü</t>
    </r>
    <r>
      <rPr>
        <sz val="7"/>
        <color theme="1"/>
        <rFont val="Times New Roman"/>
        <family val="1"/>
      </rPr>
      <t xml:space="preserve">  </t>
    </r>
    <r>
      <rPr>
        <sz val="11"/>
        <color rgb="FF000000"/>
        <rFont val="Times New Roman"/>
        <family val="1"/>
      </rPr>
      <t>Able to complete and submit assignment/journal write up within stipulated time.</t>
    </r>
  </si>
  <si>
    <r>
      <t>ü</t>
    </r>
    <r>
      <rPr>
        <sz val="7"/>
        <color theme="1"/>
        <rFont val="Times New Roman"/>
        <family val="1"/>
      </rPr>
      <t xml:space="preserve">  </t>
    </r>
    <r>
      <rPr>
        <sz val="11"/>
        <color rgb="FF000000"/>
        <rFont val="Times New Roman"/>
        <family val="1"/>
      </rPr>
      <t>The assignment / Write up submission is not within stipulated time.</t>
    </r>
  </si>
  <si>
    <r>
      <t>ü</t>
    </r>
    <r>
      <rPr>
        <sz val="7"/>
        <color theme="1"/>
        <rFont val="Times New Roman"/>
        <family val="1"/>
      </rPr>
      <t xml:space="preserve">  </t>
    </r>
    <r>
      <rPr>
        <sz val="11"/>
        <color rgb="FF000000"/>
        <rFont val="Times New Roman"/>
        <family val="1"/>
      </rPr>
      <t xml:space="preserve">Not able to complete assignment till final deadline of submission. </t>
    </r>
  </si>
  <si>
    <r>
      <t>ü</t>
    </r>
    <r>
      <rPr>
        <sz val="7"/>
        <color theme="1"/>
        <rFont val="Times New Roman"/>
        <family val="1"/>
      </rPr>
      <t xml:space="preserve">  </t>
    </r>
    <r>
      <rPr>
        <sz val="11"/>
        <color rgb="FF000000"/>
        <rFont val="Times New Roman"/>
        <family val="1"/>
      </rPr>
      <t>Able to give all answers to questions confidently.</t>
    </r>
  </si>
  <si>
    <r>
      <t>ü</t>
    </r>
    <r>
      <rPr>
        <sz val="7"/>
        <color theme="1"/>
        <rFont val="Times New Roman"/>
        <family val="1"/>
      </rPr>
      <t xml:space="preserve">  </t>
    </r>
    <r>
      <rPr>
        <sz val="11"/>
        <color rgb="FF000000"/>
        <rFont val="Times New Roman"/>
        <family val="1"/>
      </rPr>
      <t>Able to ask and Clear Doubts.</t>
    </r>
  </si>
  <si>
    <r>
      <t>ü</t>
    </r>
    <r>
      <rPr>
        <sz val="7"/>
        <color theme="1"/>
        <rFont val="Times New Roman"/>
        <family val="1"/>
      </rPr>
      <t xml:space="preserve">  </t>
    </r>
    <r>
      <rPr>
        <sz val="11"/>
        <color rgb="FF000000"/>
        <rFont val="Times New Roman"/>
        <family val="1"/>
      </rPr>
      <t>Incorrect answers to questions and Confused.</t>
    </r>
  </si>
  <si>
    <r>
      <t>ü</t>
    </r>
    <r>
      <rPr>
        <sz val="7"/>
        <color theme="1"/>
        <rFont val="Times New Roman"/>
        <family val="1"/>
      </rPr>
      <t xml:space="preserve">  </t>
    </r>
    <r>
      <rPr>
        <sz val="11"/>
        <color rgb="FF000000"/>
        <rFont val="Times New Roman"/>
        <family val="1"/>
      </rPr>
      <t>Lack of knowledge of relevant questions</t>
    </r>
  </si>
  <si>
    <r>
      <t>ü</t>
    </r>
    <r>
      <rPr>
        <sz val="7"/>
        <color theme="1"/>
        <rFont val="Times New Roman"/>
        <family val="1"/>
      </rPr>
      <t xml:space="preserve">  </t>
    </r>
    <r>
      <rPr>
        <sz val="11"/>
        <color rgb="FF000000"/>
        <rFont val="Times New Roman"/>
        <family val="1"/>
      </rPr>
      <t>Able to interpret proper data to reach conclusion</t>
    </r>
  </si>
  <si>
    <r>
      <t>ü</t>
    </r>
    <r>
      <rPr>
        <sz val="7"/>
        <color theme="1"/>
        <rFont val="Times New Roman"/>
        <family val="1"/>
      </rPr>
      <t xml:space="preserve">  </t>
    </r>
    <r>
      <rPr>
        <sz val="11"/>
        <color rgb="FF000000"/>
        <rFont val="Times New Roman"/>
        <family val="1"/>
      </rPr>
      <t xml:space="preserve">Partially give answers to questions and </t>
    </r>
  </si>
  <si>
    <r>
      <t>ü</t>
    </r>
    <r>
      <rPr>
        <sz val="7"/>
        <color theme="1"/>
        <rFont val="Times New Roman"/>
        <family val="1"/>
      </rPr>
      <t xml:space="preserve">  </t>
    </r>
    <r>
      <rPr>
        <sz val="11"/>
        <color rgb="FF000000"/>
        <rFont val="Times New Roman"/>
        <family val="1"/>
      </rPr>
      <t>Incorrect interpretation of data to reach conclusion.</t>
    </r>
  </si>
  <si>
    <r>
      <t>ü</t>
    </r>
    <r>
      <rPr>
        <sz val="7"/>
        <color theme="1"/>
        <rFont val="Times New Roman"/>
        <family val="1"/>
      </rPr>
      <t xml:space="preserve">  </t>
    </r>
    <r>
      <rPr>
        <sz val="11"/>
        <color rgb="FF000000"/>
        <rFont val="Times New Roman"/>
        <family val="1"/>
      </rPr>
      <t>Lack of interpretation of data</t>
    </r>
  </si>
  <si>
    <r>
      <t>ü</t>
    </r>
    <r>
      <rPr>
        <sz val="7"/>
        <color theme="1"/>
        <rFont val="Times New Roman"/>
        <family val="1"/>
      </rPr>
      <t xml:space="preserve">  </t>
    </r>
    <r>
      <rPr>
        <sz val="11"/>
        <color rgb="FF000000"/>
        <rFont val="Times New Roman"/>
        <family val="1"/>
      </rPr>
      <t>Partially able to interpret data to reach conclusion.</t>
    </r>
  </si>
  <si>
    <r>
      <t>ü</t>
    </r>
    <r>
      <rPr>
        <sz val="7"/>
        <color theme="1"/>
        <rFont val="Times New Roman"/>
        <family val="1"/>
      </rPr>
      <t xml:space="preserve">  </t>
    </r>
    <r>
      <rPr>
        <sz val="11"/>
        <color rgb="FF000000"/>
        <rFont val="Times New Roman"/>
        <family val="1"/>
      </rPr>
      <t xml:space="preserve">Don’t understand questions properly </t>
    </r>
  </si>
  <si>
    <t>Rubric for PO9 Assessment</t>
  </si>
  <si>
    <t>Category No</t>
  </si>
  <si>
    <t>Category</t>
  </si>
  <si>
    <t>Level of Performance</t>
  </si>
  <si>
    <t>4 to 5</t>
  </si>
  <si>
    <t>2 to 3</t>
  </si>
  <si>
    <t>Group Leader</t>
  </si>
  <si>
    <t xml:space="preserve">Will take lead if group insists;
not good at being attentive to each member
</t>
  </si>
  <si>
    <t xml:space="preserve">Resists taking on leadership role; in
leading allows uneven contributions
</t>
  </si>
  <si>
    <t>Contribution</t>
  </si>
  <si>
    <t xml:space="preserve">Always contributes ;
quality of contributions is exceptional
</t>
  </si>
  <si>
    <t xml:space="preserve">Sometimes contributes;
quality of contributions is fair
</t>
  </si>
  <si>
    <t xml:space="preserve">Rarely contributes;
contributions are often peripheral
or irrelevant; frequently misses
team sessions
</t>
  </si>
  <si>
    <t>Cooperation</t>
  </si>
  <si>
    <t xml:space="preserve">Always cooperative with all
members, support good initiatives
</t>
  </si>
  <si>
    <t xml:space="preserve">cooperative with few members,
and argue most of time
</t>
  </si>
  <si>
    <t>Rubric for PO5 Assessment</t>
  </si>
  <si>
    <t xml:space="preserve">  </t>
  </si>
  <si>
    <t xml:space="preserve">cooperative with members, but sometimes argue
</t>
  </si>
  <si>
    <t xml:space="preserve">Seeks opportunities to lead;  leading is attentive to each member
</t>
  </si>
  <si>
    <t>No of Students appered for CO</t>
  </si>
  <si>
    <t>CO Mapped</t>
  </si>
  <si>
    <t>Assessment Tools</t>
  </si>
  <si>
    <t>Marks</t>
  </si>
  <si>
    <t xml:space="preserve">INTERNAL </t>
  </si>
  <si>
    <t>EXTERNAL</t>
  </si>
  <si>
    <r>
      <t xml:space="preserve">students will </t>
    </r>
    <r>
      <rPr>
        <b/>
        <sz val="11"/>
        <color theme="1"/>
        <rFont val="Times New Roman"/>
        <family val="1"/>
      </rPr>
      <t xml:space="preserve">score more than </t>
    </r>
  </si>
  <si>
    <r>
      <rPr>
        <sz val="11"/>
        <color theme="1"/>
        <rFont val="Times New Roman"/>
        <family val="1"/>
      </rPr>
      <t>students will</t>
    </r>
    <r>
      <rPr>
        <b/>
        <sz val="11"/>
        <color theme="1"/>
        <rFont val="Times New Roman"/>
        <family val="1"/>
      </rPr>
      <t xml:space="preserve"> score more than </t>
    </r>
  </si>
  <si>
    <t>BTL</t>
  </si>
  <si>
    <t>L2-Understand</t>
  </si>
  <si>
    <t>Course Exit Survey</t>
  </si>
  <si>
    <t>Programme Outcomes (POs)</t>
  </si>
  <si>
    <t>Programme Specific Outcomes (PSOs)</t>
  </si>
  <si>
    <t>Weightages for tools</t>
  </si>
  <si>
    <t>External Assessment                   EA</t>
  </si>
  <si>
    <t>Final CO Attainment</t>
  </si>
  <si>
    <t>Assessment Tool</t>
  </si>
  <si>
    <t>Termwork</t>
  </si>
  <si>
    <t>OE</t>
  </si>
  <si>
    <t>Oral Exam</t>
  </si>
  <si>
    <t>Weightages</t>
  </si>
  <si>
    <t>Tool</t>
  </si>
  <si>
    <t>Detail</t>
  </si>
  <si>
    <t>Internal Assessment(IA)</t>
  </si>
  <si>
    <t>External Assessment(EA)</t>
  </si>
  <si>
    <t>C403</t>
  </si>
  <si>
    <t>C403.1</t>
  </si>
  <si>
    <t>C403.2</t>
  </si>
  <si>
    <t>C403.3</t>
  </si>
  <si>
    <t>C403.4</t>
  </si>
  <si>
    <t>C403.5</t>
  </si>
  <si>
    <t xml:space="preserve">ALL CO </t>
  </si>
  <si>
    <t xml:space="preserve">Apply FE software to solve the problem
</t>
  </si>
  <si>
    <t xml:space="preserve">1.fully able to apply the software to solve the problem and able to explain.                                                    2.Able to explain interpretation of results.
</t>
  </si>
  <si>
    <t xml:space="preserve">1.Partially able to apply the software to solve the problem andpartially able to explain                                                         2.Partially able to explain interpretation of results.
</t>
  </si>
  <si>
    <t xml:space="preserve">1.unable to apply the software to solve the problem and unable to explain                                   2.unble to explain interpretation of results.
</t>
  </si>
  <si>
    <r>
      <t>ü</t>
    </r>
    <r>
      <rPr>
        <sz val="7"/>
        <color theme="1"/>
        <rFont val="Times New Roman"/>
        <family val="1"/>
      </rPr>
      <t xml:space="preserve">  </t>
    </r>
    <r>
      <rPr>
        <sz val="11"/>
        <color rgb="FF000000"/>
        <rFont val="Times New Roman"/>
        <family val="1"/>
      </rPr>
      <t>Able to understand and perform the analysis  using the software.</t>
    </r>
  </si>
  <si>
    <r>
      <t>ü</t>
    </r>
    <r>
      <rPr>
        <sz val="7"/>
        <color theme="1"/>
        <rFont val="Times New Roman"/>
        <family val="1"/>
      </rPr>
      <t xml:space="preserve">  </t>
    </r>
    <r>
      <rPr>
        <sz val="11"/>
        <color rgb="FF000000"/>
        <rFont val="Times New Roman"/>
        <family val="1"/>
      </rPr>
      <t>Able to understand theoretical concept related to the problem statement.</t>
    </r>
  </si>
  <si>
    <r>
      <t>ü</t>
    </r>
    <r>
      <rPr>
        <sz val="7"/>
        <color rgb="FF000000"/>
        <rFont val="Times New Roman"/>
        <family val="1"/>
      </rPr>
      <t xml:space="preserve">  </t>
    </r>
    <r>
      <rPr>
        <sz val="11"/>
        <color rgb="FF000000"/>
        <rFont val="Times New Roman"/>
        <family val="1"/>
      </rPr>
      <t>Partly able to understandand perform the analysis  using the software.</t>
    </r>
  </si>
  <si>
    <r>
      <t>ü</t>
    </r>
    <r>
      <rPr>
        <sz val="7"/>
        <color rgb="FF000000"/>
        <rFont val="Times New Roman"/>
        <family val="1"/>
      </rPr>
      <t xml:space="preserve">  </t>
    </r>
    <r>
      <rPr>
        <sz val="11"/>
        <color rgb="FF000000"/>
        <rFont val="Times New Roman"/>
        <family val="1"/>
      </rPr>
      <t>Partly able to understand theoretical concept related to the problem statement.</t>
    </r>
  </si>
  <si>
    <r>
      <t>ü</t>
    </r>
    <r>
      <rPr>
        <sz val="7"/>
        <color theme="1"/>
        <rFont val="Times New Roman"/>
        <family val="1"/>
      </rPr>
      <t xml:space="preserve">  </t>
    </r>
    <r>
      <rPr>
        <sz val="11"/>
        <color rgb="FF000000"/>
        <rFont val="Times New Roman"/>
        <family val="1"/>
      </rPr>
      <t xml:space="preserve">Require instructor help to write assignment/ journal </t>
    </r>
  </si>
  <si>
    <t>Highly Achived</t>
  </si>
  <si>
    <t>If % of attainment is greater than 83.33%</t>
  </si>
  <si>
    <t>If % of attainment is in between than 60 to 83.33%</t>
  </si>
  <si>
    <t>poorly achieved</t>
  </si>
  <si>
    <t>If % of attainment is in between than 30 to 59.99%</t>
  </si>
  <si>
    <t>Not Achieved</t>
  </si>
  <si>
    <t>If % of attainment is less than 30 %</t>
  </si>
  <si>
    <t>Observation</t>
  </si>
  <si>
    <t>action to be taken</t>
  </si>
  <si>
    <t>Rubric for PO10 Assessment</t>
  </si>
  <si>
    <t>Oral Communication ,Delivery &amp;
Speaking Skills</t>
  </si>
  <si>
    <t>Clear voice and correct pronunciation of
terms.
Good eye contact.</t>
  </si>
  <si>
    <t xml:space="preserve">Most words pronounced correctly.
Some eye contact,
</t>
  </si>
  <si>
    <t>Occasional mispronunciation of terms.                                                 Little eye contact,
only littleexpression.</t>
  </si>
  <si>
    <t>Written Communication Organization &amp;
Style</t>
  </si>
  <si>
    <t>presented in a logical, interesting way, which is easy to follow. Purpose is clearly stated and explains the structure of work.</t>
  </si>
  <si>
    <t>Information is presented in a logical manner, which is easily followed. Purpose of work is clearly stated and assists the structure of work .</t>
  </si>
  <si>
    <t>Work is hard to follow as there is very little continuity. Purpose of work is stated, but does not assist in following work.</t>
  </si>
  <si>
    <t>Written Communication Spelling &amp; Grammar</t>
  </si>
  <si>
    <t>Negligible misspelling sand/or grammatical
errors.</t>
  </si>
  <si>
    <t xml:space="preserve">Minor misspellings and/or grammatical
errors.
</t>
  </si>
  <si>
    <t>Several spelling and grammatical errors.</t>
  </si>
  <si>
    <t>2021-22</t>
  </si>
  <si>
    <t>C403.6</t>
  </si>
  <si>
    <t>ESE</t>
  </si>
  <si>
    <t>End Sem. Exam</t>
  </si>
  <si>
    <t>Solve Scalar field problems by Finite element formulation.</t>
  </si>
  <si>
    <t>Elaborate the fundamental concepts of Finite Element method.</t>
  </si>
  <si>
    <t>Understand the key concepts like Shape function, element stiffness and boundary conditions by finite element formulations for 1D problem.</t>
  </si>
  <si>
    <t>Apply the finite element formulations for two dimensional problems using constant strain triangle.</t>
  </si>
  <si>
    <t>Demonstrate the modeling aspects of axisymmetric solids subjected to axisymmetric loading.</t>
  </si>
  <si>
    <t>Apply the finite element formulations for Planer Trusses using 1D element.</t>
  </si>
  <si>
    <t xml:space="preserve">Target and Attainment </t>
  </si>
  <si>
    <t>1-0</t>
  </si>
  <si>
    <t xml:space="preserve">% Attainment </t>
  </si>
  <si>
    <t>Course Teacher</t>
  </si>
  <si>
    <t>Program coordinator</t>
  </si>
  <si>
    <t>H.o.D.</t>
  </si>
  <si>
    <t>Sr. No.</t>
  </si>
  <si>
    <t>Academic Year</t>
  </si>
  <si>
    <t>% Result</t>
  </si>
  <si>
    <t>Avg. Marks</t>
  </si>
  <si>
    <t>Average Result</t>
  </si>
  <si>
    <t>Average Marks</t>
  </si>
  <si>
    <t>2020-21</t>
  </si>
  <si>
    <t>2019-20</t>
  </si>
  <si>
    <t>1. In academic year 2020-21, 2021-22 the average marks of each student were drastically increased due to online mode final university examination.</t>
  </si>
  <si>
    <t>2. Similarly the average marks for academic year 2019-20 is 40%. Therefore, this academic year the target for this course is set to 45%.</t>
  </si>
  <si>
    <t xml:space="preserve">Course Incharge   </t>
  </si>
  <si>
    <t xml:space="preserve"> Program Coordinator</t>
  </si>
  <si>
    <t>L3-Apply,L4- Analyze</t>
  </si>
  <si>
    <t>MT</t>
  </si>
  <si>
    <t>ET</t>
  </si>
  <si>
    <t>Mid Term Test</t>
  </si>
  <si>
    <t>End Term Test</t>
  </si>
  <si>
    <t>Rubric for  Termwork out of  25 Marks</t>
  </si>
  <si>
    <t>Oral</t>
  </si>
  <si>
    <t>(15 Marks)</t>
  </si>
  <si>
    <t>01-03 mark</t>
  </si>
  <si>
    <t>04-08  marks</t>
  </si>
  <si>
    <t>09-12 marks</t>
  </si>
  <si>
    <t>13-15 marks</t>
  </si>
  <si>
    <t>07-10 marks</t>
  </si>
  <si>
    <t>05-06 marks</t>
  </si>
  <si>
    <t>02-04  marks</t>
  </si>
  <si>
    <t>01 mark</t>
  </si>
  <si>
    <t>Rubric for PO6 Assessment</t>
  </si>
  <si>
    <t>Able to apply resoning to assess safety of the components.</t>
  </si>
  <si>
    <t xml:space="preserve">1.fully able to apply  resoning to assess safety of the components.                                                 2.Able to explain interpretation of results.
</t>
  </si>
  <si>
    <t xml:space="preserve">1.Partially able to resoning to assess safety of the components.                                                        2.Partially able to explain interpretation of results.
</t>
  </si>
  <si>
    <t xml:space="preserve">1.unable to apply resoning to assess safety of the components.                                   2.unble to explain interpretation of results.
</t>
  </si>
  <si>
    <t>INTERNAL(60%)</t>
  </si>
  <si>
    <t>External (40%)</t>
  </si>
  <si>
    <t>Poorly Achieved</t>
  </si>
  <si>
    <t>Students were lacking understand and apply  the basic concepts of FEA to solve engineering problems.</t>
  </si>
  <si>
    <t>Students were not able to  solve the problems of 1D, plane stress, plain strain,axisymmetric and heat transfer problems using principles of mathematics.</t>
  </si>
  <si>
    <t>Students were not able to design solutions for complex problems.</t>
  </si>
  <si>
    <t>Students were not able to analyze and interpret the data.</t>
  </si>
  <si>
    <t>Students were unable to solve the problems individually. Students were unable to use ANSYS software to perform the analysis individually.</t>
  </si>
  <si>
    <t>Students were unable to communicate effectively.</t>
  </si>
  <si>
    <t>Student were unable to apply the knowledge in ENGG. science while performing the structural analysis.</t>
  </si>
  <si>
    <t>Student were unable to apply the knowledge in thermal science while performing the heat transfer analysis of piston.</t>
  </si>
  <si>
    <t>Students were unable to use ANSYS software to model and analyse the engineering problem on 1D (stepped bar,beam), 2D(plane stress and plain strain) &amp; heat transfer problems.</t>
  </si>
  <si>
    <t>This is the last batch of CBCS pattern. So no action taken is planned.</t>
  </si>
  <si>
    <t>Status of attainment 2022-23</t>
  </si>
  <si>
    <t>Impact of action Taken (Target and Attainment AY 2022-23)</t>
  </si>
  <si>
    <t>Semester-</t>
  </si>
  <si>
    <t>Dr. D. Y. PATIL POLYTECHNIC, KOLHAPUR</t>
  </si>
  <si>
    <t>Department of ------------------ Engineering</t>
  </si>
  <si>
    <t>2023-24</t>
  </si>
  <si>
    <t>CT1</t>
  </si>
  <si>
    <t>CT2</t>
  </si>
  <si>
    <t>Microproject</t>
  </si>
  <si>
    <t>MP</t>
  </si>
  <si>
    <t>CES</t>
  </si>
  <si>
    <t>ESE-TH</t>
  </si>
  <si>
    <t>ESE-PR</t>
  </si>
  <si>
    <t>Class Test 1</t>
  </si>
  <si>
    <t>Class Test 2</t>
  </si>
  <si>
    <t>CO No.</t>
  </si>
  <si>
    <t>CO-Statements</t>
  </si>
  <si>
    <t>Internal Assessment Attainment       IAA</t>
  </si>
  <si>
    <t xml:space="preserve">Subject:    </t>
  </si>
  <si>
    <t>CO-PO Attained matrix</t>
  </si>
  <si>
    <t>Department of Computer Engineering</t>
  </si>
  <si>
    <t>Course:                                 : Internal Assessment Attainment</t>
  </si>
  <si>
    <t>Academic Year-2022-23</t>
  </si>
  <si>
    <t>CO'S</t>
  </si>
  <si>
    <t>MiroProject</t>
  </si>
  <si>
    <t>CAS</t>
  </si>
  <si>
    <t>IAA</t>
  </si>
  <si>
    <t>Attainment Sheet</t>
  </si>
  <si>
    <t>Attainment (Direct)</t>
  </si>
  <si>
    <t>CO Assessment sheet, 2022-23</t>
  </si>
  <si>
    <t>Micoproject</t>
  </si>
  <si>
    <t>ALL</t>
  </si>
  <si>
    <t>Average</t>
  </si>
  <si>
    <t>Roll No.</t>
  </si>
  <si>
    <t>Enrollment No</t>
  </si>
  <si>
    <t>Name of Student</t>
  </si>
  <si>
    <t xml:space="preserve">CT-1 </t>
  </si>
  <si>
    <t>CT-2</t>
  </si>
  <si>
    <t>ESE-Theory</t>
  </si>
  <si>
    <t>Q</t>
  </si>
  <si>
    <t>Q1a</t>
  </si>
  <si>
    <t>Q1b</t>
  </si>
  <si>
    <t>Q.1(c)</t>
  </si>
  <si>
    <t>Q.1(d)</t>
  </si>
  <si>
    <t>Q.1(e)</t>
  </si>
  <si>
    <t>Q.1(f)</t>
  </si>
  <si>
    <t>Q2a</t>
  </si>
  <si>
    <t>Q2b</t>
  </si>
  <si>
    <t>Q2c</t>
  </si>
  <si>
    <t>Q2d</t>
  </si>
  <si>
    <t>Q1c</t>
  </si>
  <si>
    <t>Q1d</t>
  </si>
  <si>
    <t>Q1e</t>
  </si>
  <si>
    <t>Q1f</t>
  </si>
  <si>
    <t>All</t>
  </si>
  <si>
    <t>Threshold</t>
  </si>
  <si>
    <t>Observations &amp; Action Planned</t>
  </si>
  <si>
    <t>ATTAINMENT (DIRECT)</t>
  </si>
  <si>
    <t>% Attainment 2022-23</t>
  </si>
  <si>
    <t>Almost Achieved</t>
  </si>
  <si>
    <t>Low Ahieved</t>
  </si>
  <si>
    <t>CO1</t>
  </si>
  <si>
    <t>CO2</t>
  </si>
  <si>
    <t>CO3</t>
  </si>
  <si>
    <t>CO4</t>
  </si>
  <si>
    <t>CO5</t>
  </si>
  <si>
    <t>Q1</t>
  </si>
  <si>
    <t>Q2</t>
  </si>
  <si>
    <t>Q3</t>
  </si>
  <si>
    <t>Q4</t>
  </si>
  <si>
    <t>Q5</t>
  </si>
  <si>
    <t>EAA</t>
  </si>
  <si>
    <t>At the end of course, students will able to</t>
  </si>
  <si>
    <t>CO number and CO statements</t>
  </si>
  <si>
    <t xml:space="preserve">PO1 </t>
  </si>
  <si>
    <t>Basic and Discipline specific knowledge</t>
  </si>
  <si>
    <t>Tutorial: 02 hrs per week</t>
  </si>
  <si>
    <t xml:space="preserve">Course Coutcome </t>
  </si>
  <si>
    <t>Contact Hours</t>
  </si>
  <si>
    <t>Assessment Type</t>
  </si>
  <si>
    <t>L3</t>
  </si>
  <si>
    <t xml:space="preserve">PO2 </t>
  </si>
  <si>
    <t xml:space="preserve">Problem analysis </t>
  </si>
  <si>
    <t>PO3 Design/ development of solutions</t>
  </si>
  <si>
    <t>Course Coutcome (Engineering Physics Theory)</t>
  </si>
  <si>
    <t>CO-PO Target Matrix</t>
  </si>
  <si>
    <t xml:space="preserve">&lt;5%  No mapping </t>
  </si>
  <si>
    <t>Level1-   5 To 15%</t>
  </si>
  <si>
    <t>Level 3- &gt;25%</t>
  </si>
  <si>
    <t>If % of attainment is greater than 80%</t>
  </si>
  <si>
    <t>If % of attainment is in between than 60 to80%</t>
  </si>
  <si>
    <t>Final 60% IAA</t>
  </si>
  <si>
    <t>Final 40% EAA</t>
  </si>
  <si>
    <t>Final Attainment 100%</t>
  </si>
  <si>
    <t>level2-   Above 15 To 25%</t>
  </si>
  <si>
    <t xml:space="preserve"> No. of Students Appeared for CO</t>
  </si>
  <si>
    <r>
      <rPr>
        <b/>
        <sz val="12"/>
        <color rgb="FF000000"/>
        <rFont val="Times New Roman"/>
        <family val="1"/>
      </rPr>
      <t>Basic and Discipline specific knowledge</t>
    </r>
    <r>
      <rPr>
        <sz val="12"/>
        <color rgb="FF000000"/>
        <rFont val="Times New Roman"/>
        <family val="1"/>
      </rPr>
      <t xml:space="preserve">: Apply knowledge of basic mathematics, science and engineering fundamentals and engineering specialization to solve the engineering
problems.
Basic and Discipline specific knowledge: Apply knowledge of basic mathematics, science and
engineering fundamentals and engineering specialization to solve the engineering
problems.
Basic and Discipline specific knowledge: Apply knowledge of basic mathematics, science and
engineering fundamentals and engineering specialization to solve the engineering
problems.
</t>
    </r>
  </si>
  <si>
    <r>
      <rPr>
        <b/>
        <sz val="12"/>
        <color rgb="FF000000"/>
        <rFont val="Times New Roman"/>
        <family val="1"/>
      </rPr>
      <t>Problem analysis:</t>
    </r>
    <r>
      <rPr>
        <sz val="12"/>
        <color rgb="FF000000"/>
        <rFont val="Times New Roman"/>
        <family val="1"/>
      </rPr>
      <t xml:space="preserve"> Identify and analyse well-defined engineering problems using codified standard methods.
</t>
    </r>
  </si>
  <si>
    <r>
      <rPr>
        <b/>
        <sz val="12"/>
        <color rgb="FF000000"/>
        <rFont val="Times New Roman"/>
        <family val="1"/>
      </rPr>
      <t>Design/ development of solutions:</t>
    </r>
    <r>
      <rPr>
        <sz val="12"/>
        <color rgb="FF000000"/>
        <rFont val="Times New Roman"/>
        <family val="1"/>
      </rPr>
      <t xml:space="preserve"> Design solutions for well-defined technical problems and assist with the design of systems components or processes to meet specified needs.</t>
    </r>
  </si>
  <si>
    <r>
      <rPr>
        <b/>
        <sz val="12"/>
        <color rgb="FF000000"/>
        <rFont val="Times New Roman"/>
        <family val="1"/>
      </rPr>
      <t>Engineering Tools, Experimentation and Testing</t>
    </r>
    <r>
      <rPr>
        <sz val="12"/>
        <color rgb="FF000000"/>
        <rFont val="Times New Roman"/>
        <family val="1"/>
      </rPr>
      <t xml:space="preserve">: Apply modern engineering tools and appropriate technique to conduct standard tests and measurements. </t>
    </r>
  </si>
  <si>
    <r>
      <rPr>
        <b/>
        <sz val="12"/>
        <color rgb="FF000000"/>
        <rFont val="Times New Roman"/>
        <family val="1"/>
      </rPr>
      <t>Engineering practices for society, sustainability and environment:</t>
    </r>
    <r>
      <rPr>
        <sz val="12"/>
        <color rgb="FF000000"/>
        <rFont val="Times New Roman"/>
        <family val="1"/>
      </rPr>
      <t xml:space="preserve"> Apply appropriate technology in context of society, sustainability, environment and ethical practices.</t>
    </r>
  </si>
  <si>
    <r>
      <rPr>
        <b/>
        <sz val="12"/>
        <color rgb="FF000000"/>
        <rFont val="Times New Roman"/>
        <family val="1"/>
      </rPr>
      <t>Project Management:</t>
    </r>
    <r>
      <rPr>
        <sz val="12"/>
        <color rgb="FF000000"/>
        <rFont val="Times New Roman"/>
        <family val="1"/>
      </rPr>
      <t xml:space="preserve"> Use engineering management principles individually, as a team member or a leader to manage projects and effectively communicate about well-defined
engineering activities.</t>
    </r>
  </si>
  <si>
    <r>
      <rPr>
        <b/>
        <sz val="12"/>
        <color rgb="FF000000"/>
        <rFont val="Times New Roman"/>
        <family val="1"/>
      </rPr>
      <t>Life-long learning:</t>
    </r>
    <r>
      <rPr>
        <sz val="12"/>
        <color rgb="FF000000"/>
        <rFont val="Times New Roman"/>
        <family val="1"/>
      </rPr>
      <t xml:space="preserve"> Ability to analyse individual needs and engage in updating in the context of technological changes.</t>
    </r>
  </si>
  <si>
    <t>Final Attinment= ((0.6 of IAA)+(0.4 EA))</t>
  </si>
  <si>
    <t xml:space="preserve">Assessment Tools </t>
  </si>
  <si>
    <t xml:space="preserve">Assessment Types </t>
  </si>
  <si>
    <t xml:space="preserve">No mapping </t>
  </si>
  <si>
    <t>1 to 2</t>
  </si>
  <si>
    <t>4or more</t>
  </si>
  <si>
    <t>above 3</t>
  </si>
  <si>
    <t>Contact hours</t>
  </si>
  <si>
    <t xml:space="preserve">Moderately  Achieved
</t>
  </si>
  <si>
    <r>
      <rPr>
        <b/>
        <sz val="12"/>
        <color rgb="FF000000"/>
        <rFont val="Calibri"/>
        <family val="2"/>
      </rPr>
      <t xml:space="preserve">Computer Software and Hardware Usage:  </t>
    </r>
    <r>
      <rPr>
        <sz val="12"/>
        <color rgb="FF000000"/>
        <rFont val="Calibri"/>
        <family val="2"/>
      </rPr>
      <t>Use state- of- the- art of technologies for opeartion and application of computer software and hardware .</t>
    </r>
  </si>
  <si>
    <r>
      <rPr>
        <b/>
        <sz val="12"/>
        <color rgb="FF000000"/>
        <rFont val="Calibri"/>
        <family val="2"/>
      </rPr>
      <t>Computer Engineering Maintenance:</t>
    </r>
    <r>
      <rPr>
        <sz val="12"/>
        <color rgb="FF000000"/>
        <rFont val="Calibri"/>
        <family val="2"/>
      </rPr>
      <t xml:space="preserve">  Maintain Computer Enginnering related software and hardware systems.</t>
    </r>
  </si>
  <si>
    <t>Class:- FY</t>
  </si>
  <si>
    <t>FY</t>
  </si>
  <si>
    <t xml:space="preserve">Teaching Scheme: 4Hrs/ Week                       Tutorial : 2 Hrs/ Week        </t>
  </si>
  <si>
    <t>2022-23</t>
  </si>
  <si>
    <r>
      <rPr>
        <b/>
        <sz val="12"/>
        <color theme="3" tint="-0.249977111117893"/>
        <rFont val="Times New Roman"/>
        <family val="1"/>
      </rPr>
      <t>Assessment type</t>
    </r>
    <r>
      <rPr>
        <b/>
        <sz val="12"/>
        <color theme="1"/>
        <rFont val="Times New Roman"/>
        <family val="1"/>
      </rPr>
      <t xml:space="preserve"> = TH-ESE</t>
    </r>
  </si>
  <si>
    <t>Lec: 4hrs  per week</t>
  </si>
  <si>
    <t>Total hrs:64+32=96</t>
  </si>
  <si>
    <t xml:space="preserve">                                                                  </t>
  </si>
  <si>
    <t>No. of student Score more than 40-% marks</t>
  </si>
  <si>
    <t>% of student score more than 40-% Marks</t>
  </si>
  <si>
    <r>
      <rPr>
        <b/>
        <sz val="12"/>
        <color theme="3" tint="-0.249977111117893"/>
        <rFont val="Times New Roman"/>
        <family val="1"/>
      </rPr>
      <t>Assessment Tools</t>
    </r>
    <r>
      <rPr>
        <b/>
        <sz val="12"/>
        <color theme="1"/>
        <rFont val="Times New Roman"/>
        <family val="1"/>
      </rPr>
      <t xml:space="preserve"> = CT ,CES,MPR</t>
    </r>
  </si>
  <si>
    <t>Department of Computer  Engineering</t>
  </si>
  <si>
    <t>Div:-C,D,E</t>
  </si>
  <si>
    <t>Department of  Computer Engineering</t>
  </si>
  <si>
    <t>AB</t>
  </si>
  <si>
    <t>C,D,E</t>
  </si>
  <si>
    <t>©</t>
  </si>
  <si>
    <t>PO4 Engineering Tools, Experimentation and Testing</t>
  </si>
  <si>
    <t>PO5 Engineering practices for society, sustainability and environment</t>
  </si>
  <si>
    <t>PO6 Project Management</t>
  </si>
  <si>
    <t>Internal Assessment(IAA)</t>
  </si>
  <si>
    <t>External Assessment(EAA)</t>
  </si>
  <si>
    <t xml:space="preserve">Remark for Threshold / Benchmark setting- because of online examination in AY 2021-2022 and 2020-2021,result shows </t>
  </si>
  <si>
    <t>L1,L2,L3</t>
  </si>
  <si>
    <t>IAA==(0.8*CT1+0.8*CT2+0.1*MPR+0.1*CES)</t>
  </si>
  <si>
    <t>Action to be taken
 in 2023-24</t>
  </si>
  <si>
    <t xml:space="preserve"> Examination Scheme: TH-PA-30 Marks TH-ESE-70Marks</t>
  </si>
  <si>
    <t xml:space="preserve">Computer Software and Hardware Usage: </t>
  </si>
  <si>
    <t>PO7 Life long learning</t>
  </si>
  <si>
    <t xml:space="preserve">PSO1 </t>
  </si>
  <si>
    <t>&gt;60</t>
  </si>
  <si>
    <t>40-60</t>
  </si>
  <si>
    <t>&lt;40</t>
  </si>
  <si>
    <t>1) The  videos related to  difficult points prepared by msbte were sent to students to clear the concepts .           2)Chapterwise Assignments questions provied for getting familler .                                                                                                               3) In Academic year i.e. 2020-21due to panedemic examination was conducted in  online mode where 50% weightage was for objective and 50% weightage for subjective evaluation. It helped to raise the result of this coursewith the type of question and type of answer to be written for examination.          4) Assessment of 22103.2 based on practise only so planned to take more practice on that part.                                      5) Planned to continue same activity based learning for difficult chapter to raise students mark.</t>
  </si>
  <si>
    <t>II</t>
  </si>
  <si>
    <t>Course- Applied Mathematics                                                      Name of Faculty: Ms. S.S.Patil</t>
  </si>
  <si>
    <r>
      <t>F.Y. Diploma (Computer</t>
    </r>
    <r>
      <rPr>
        <sz val="12"/>
        <color theme="1"/>
        <rFont val="Times New Roman"/>
        <family val="1"/>
      </rPr>
      <t xml:space="preserve"> Engin</t>
    </r>
    <r>
      <rPr>
        <b/>
        <sz val="12"/>
        <color theme="1"/>
        <rFont val="Times New Roman"/>
        <family val="1"/>
      </rPr>
      <t>eering) Semester-II</t>
    </r>
  </si>
  <si>
    <t xml:space="preserve"> Course Name:-Applied Mathematics  (22224)</t>
  </si>
  <si>
    <t>Course Code:-22224</t>
  </si>
  <si>
    <t>Course:  Applied Mathematics   Course Code:-  22224  (Sem II 2022-23), CO-PO Mapping Justification</t>
  </si>
  <si>
    <t>For CO 22224.1  Total  lec 20+ Tut=10hrs, Total =30   Contact hrs in %=(30/96)*100=31.25%</t>
  </si>
  <si>
    <t>For CO 22224.4 Total   lec 08 + Tut=06hrs, Total=14   Contact hrs in %=(14/96)*100=14.58%</t>
  </si>
  <si>
    <t>AMI</t>
  </si>
  <si>
    <t>Ms. S.S.Patil</t>
  </si>
  <si>
    <t>Branch:-  Computer                  Division –  C,D,E             Course- Applied Mathematics     Course Code-22224</t>
  </si>
  <si>
    <t>22224.1 - Calculate the equation of tangent ,maxima,minima,radius of curvature by differentiation</t>
  </si>
  <si>
    <t>22224.2 - Solve the given problems of integration using suitable method</t>
  </si>
  <si>
    <t xml:space="preserve">22224.3 - Apply the concept of integration to find area and volume </t>
  </si>
  <si>
    <t>22224.5 - Apply numerical methods to solve program specific problems</t>
  </si>
  <si>
    <t>For CO 22224.2  Total  lec 14 + Tut=06hrs, Total=20   Contact hrs in %=(24/96)*100=20.83%</t>
  </si>
  <si>
    <t>For CO 22224.3 Total   lec 10 + Tut=04 hrs, Total=14  Contact hrs in %=(12/96)*100=14.58%</t>
  </si>
  <si>
    <t>For CO 22224.5 Total   lec 12 + Tut=06hrs, Total=18   Contact hrs in %=(16/96)*100=18.75%</t>
  </si>
  <si>
    <t xml:space="preserve"> Calculate the equation of tangent ,maxima,minima,radius of curvature by differentiation</t>
  </si>
  <si>
    <t>Solve the given problems of integration using suitable method</t>
  </si>
  <si>
    <t xml:space="preserve">Apply the concept of integration to find area and volume </t>
  </si>
  <si>
    <t>Solve the differential equation of first order and firs degree using suitable methods</t>
  </si>
  <si>
    <t>Apply numerical methods to solve program specific problems</t>
  </si>
  <si>
    <t>STU001</t>
  </si>
  <si>
    <t>STU002</t>
  </si>
  <si>
    <t>STU003</t>
  </si>
  <si>
    <t>STU004</t>
  </si>
  <si>
    <t>STU005</t>
  </si>
  <si>
    <t>STU006</t>
  </si>
  <si>
    <t>STU007</t>
  </si>
  <si>
    <t>STU008</t>
  </si>
  <si>
    <t>STU009</t>
  </si>
  <si>
    <t>STU010</t>
  </si>
  <si>
    <t>STU011</t>
  </si>
  <si>
    <t>STU012</t>
  </si>
  <si>
    <t>STU013</t>
  </si>
  <si>
    <t>STU014</t>
  </si>
  <si>
    <t>STU015</t>
  </si>
  <si>
    <t>STU016</t>
  </si>
  <si>
    <t>STU017</t>
  </si>
  <si>
    <t>STU018</t>
  </si>
  <si>
    <t>STU019</t>
  </si>
  <si>
    <t>STU020</t>
  </si>
  <si>
    <t>STU021</t>
  </si>
  <si>
    <t>STU022</t>
  </si>
  <si>
    <t>STU023</t>
  </si>
  <si>
    <t>STU024</t>
  </si>
  <si>
    <t>STU025</t>
  </si>
  <si>
    <t>STU026</t>
  </si>
  <si>
    <t>STU027</t>
  </si>
  <si>
    <t>STU028</t>
  </si>
  <si>
    <t>STU029</t>
  </si>
  <si>
    <t>STU030</t>
  </si>
  <si>
    <t>STU031</t>
  </si>
  <si>
    <t>STU032</t>
  </si>
  <si>
    <t>STU033</t>
  </si>
  <si>
    <t>STU034</t>
  </si>
  <si>
    <t>STU035</t>
  </si>
  <si>
    <t>STU036</t>
  </si>
  <si>
    <t>STU037</t>
  </si>
  <si>
    <t>STU038</t>
  </si>
  <si>
    <t>STU039</t>
  </si>
  <si>
    <t>STU040</t>
  </si>
  <si>
    <t>STU041</t>
  </si>
  <si>
    <t>STU042</t>
  </si>
  <si>
    <t>STU043</t>
  </si>
  <si>
    <t>STU044</t>
  </si>
  <si>
    <t>STU045</t>
  </si>
  <si>
    <t>STU046</t>
  </si>
  <si>
    <t>STU047</t>
  </si>
  <si>
    <t>STU048</t>
  </si>
  <si>
    <t>STU049</t>
  </si>
  <si>
    <t>STU050</t>
  </si>
  <si>
    <t>STU051</t>
  </si>
  <si>
    <t>STU052</t>
  </si>
  <si>
    <t>STU053</t>
  </si>
  <si>
    <t>STU054</t>
  </si>
  <si>
    <t>STU055</t>
  </si>
  <si>
    <t>STU056</t>
  </si>
  <si>
    <t>STU057</t>
  </si>
  <si>
    <t>STU058</t>
  </si>
  <si>
    <t>STU059</t>
  </si>
  <si>
    <t>STU060</t>
  </si>
  <si>
    <t>STU061</t>
  </si>
  <si>
    <t>STU062</t>
  </si>
  <si>
    <t>STU063</t>
  </si>
  <si>
    <t>STU064</t>
  </si>
  <si>
    <t>STU065</t>
  </si>
  <si>
    <t>STU066</t>
  </si>
  <si>
    <t>STU067</t>
  </si>
  <si>
    <t>STU068</t>
  </si>
  <si>
    <t>STU069</t>
  </si>
  <si>
    <t>STU070</t>
  </si>
  <si>
    <t>STU071</t>
  </si>
  <si>
    <t>STU072</t>
  </si>
  <si>
    <t>STU073</t>
  </si>
  <si>
    <t>STU074</t>
  </si>
  <si>
    <t>STU075</t>
  </si>
  <si>
    <t>STU076</t>
  </si>
  <si>
    <t>STU077</t>
  </si>
  <si>
    <t>STU078</t>
  </si>
  <si>
    <t>STU079</t>
  </si>
  <si>
    <t>STU080</t>
  </si>
  <si>
    <t>STU081</t>
  </si>
  <si>
    <t>STU082</t>
  </si>
  <si>
    <t>STU083</t>
  </si>
  <si>
    <t>STU084</t>
  </si>
  <si>
    <t>STU085</t>
  </si>
  <si>
    <t>STU086</t>
  </si>
  <si>
    <t>STU087</t>
  </si>
  <si>
    <t>STU088</t>
  </si>
  <si>
    <t>STU089</t>
  </si>
  <si>
    <t>STU090</t>
  </si>
  <si>
    <t>STU091</t>
  </si>
  <si>
    <t>STU092</t>
  </si>
  <si>
    <t>STU093</t>
  </si>
  <si>
    <t>STU094</t>
  </si>
  <si>
    <t>STU095</t>
  </si>
  <si>
    <t>STU096</t>
  </si>
  <si>
    <t>STU097</t>
  </si>
  <si>
    <t>STU098</t>
  </si>
  <si>
    <t>STU099</t>
  </si>
  <si>
    <t>STU100</t>
  </si>
  <si>
    <t>STU101</t>
  </si>
  <si>
    <t>STU102</t>
  </si>
  <si>
    <t>STU103</t>
  </si>
  <si>
    <t>STU104</t>
  </si>
  <si>
    <t>STU105</t>
  </si>
  <si>
    <t>STU106</t>
  </si>
  <si>
    <t>STU107</t>
  </si>
  <si>
    <t>STU108</t>
  </si>
  <si>
    <t>STU109</t>
  </si>
  <si>
    <t>STU110</t>
  </si>
  <si>
    <t>STU111</t>
  </si>
  <si>
    <t>STU112</t>
  </si>
  <si>
    <t>STU113</t>
  </si>
  <si>
    <t>STU114</t>
  </si>
  <si>
    <t>STU115</t>
  </si>
  <si>
    <t>STU116</t>
  </si>
  <si>
    <t>STU117</t>
  </si>
  <si>
    <t>STU118</t>
  </si>
  <si>
    <t>STU119</t>
  </si>
  <si>
    <t>STU120</t>
  </si>
  <si>
    <t>STU121</t>
  </si>
  <si>
    <t>STU122</t>
  </si>
  <si>
    <t>STU123</t>
  </si>
  <si>
    <t>STU124</t>
  </si>
  <si>
    <t>STU125</t>
  </si>
  <si>
    <t>STU126</t>
  </si>
  <si>
    <t>STU127</t>
  </si>
  <si>
    <t>STU128</t>
  </si>
  <si>
    <t>STU129</t>
  </si>
  <si>
    <t>STU130</t>
  </si>
  <si>
    <t>STU131</t>
  </si>
  <si>
    <t>STU132</t>
  </si>
  <si>
    <t>STU133</t>
  </si>
  <si>
    <t>STU134</t>
  </si>
  <si>
    <t>STU135</t>
  </si>
  <si>
    <t>STU136</t>
  </si>
  <si>
    <t>STU137</t>
  </si>
  <si>
    <t>STU138</t>
  </si>
  <si>
    <t>STU139</t>
  </si>
  <si>
    <t>STU140</t>
  </si>
  <si>
    <t>STU141</t>
  </si>
  <si>
    <t>STU142</t>
  </si>
  <si>
    <t>STU143</t>
  </si>
  <si>
    <t>STU144</t>
  </si>
  <si>
    <t>STU145</t>
  </si>
  <si>
    <t>STU146</t>
  </si>
  <si>
    <t>STU147</t>
  </si>
  <si>
    <t>STU148</t>
  </si>
  <si>
    <t>STU149</t>
  </si>
  <si>
    <t>STU150</t>
  </si>
  <si>
    <t>STU151</t>
  </si>
  <si>
    <t>STU152</t>
  </si>
  <si>
    <t>STU153</t>
  </si>
  <si>
    <t>STU154</t>
  </si>
  <si>
    <t>STU155</t>
  </si>
  <si>
    <t>STU156</t>
  </si>
  <si>
    <t>STU157</t>
  </si>
  <si>
    <t>STU158</t>
  </si>
  <si>
    <t>STU159</t>
  </si>
  <si>
    <t>STU160</t>
  </si>
  <si>
    <t>STU161</t>
  </si>
  <si>
    <t>STU162</t>
  </si>
  <si>
    <t>STU163</t>
  </si>
  <si>
    <t>STU164</t>
  </si>
  <si>
    <t>STU165</t>
  </si>
  <si>
    <t>STU166</t>
  </si>
  <si>
    <t>STU167</t>
  </si>
  <si>
    <t>STU168</t>
  </si>
  <si>
    <t>STU169</t>
  </si>
  <si>
    <t>STU170</t>
  </si>
  <si>
    <t>STU171</t>
  </si>
  <si>
    <t>STU172</t>
  </si>
  <si>
    <t>STU173</t>
  </si>
  <si>
    <t>STU174</t>
  </si>
  <si>
    <t>STU175</t>
  </si>
  <si>
    <t>STU176</t>
  </si>
  <si>
    <t>STU177</t>
  </si>
  <si>
    <t>STU178</t>
  </si>
  <si>
    <t>STU179</t>
  </si>
  <si>
    <t>STU180</t>
  </si>
  <si>
    <t>STU181</t>
  </si>
  <si>
    <t>STU182</t>
  </si>
  <si>
    <t>STU183</t>
  </si>
  <si>
    <t>STU184</t>
  </si>
  <si>
    <t>STU185</t>
  </si>
  <si>
    <t>STU186</t>
  </si>
  <si>
    <t>STU187</t>
  </si>
  <si>
    <t>STU188</t>
  </si>
  <si>
    <t>STU189</t>
  </si>
  <si>
    <t>STU190</t>
  </si>
  <si>
    <t>STU191</t>
  </si>
  <si>
    <t>STU192</t>
  </si>
  <si>
    <t>STU193</t>
  </si>
  <si>
    <t>STU194</t>
  </si>
  <si>
    <t>STU195</t>
  </si>
  <si>
    <t>STU196</t>
  </si>
  <si>
    <t>STU197</t>
  </si>
  <si>
    <t>STU198</t>
  </si>
  <si>
    <t>STU199</t>
  </si>
  <si>
    <t>STU200</t>
  </si>
  <si>
    <t>STU201</t>
  </si>
  <si>
    <t>STU202</t>
  </si>
  <si>
    <t>STU203</t>
  </si>
  <si>
    <t>STU204</t>
  </si>
  <si>
    <t>STU205</t>
  </si>
  <si>
    <t>STU206</t>
  </si>
  <si>
    <t>STU207</t>
  </si>
  <si>
    <t>ENR001</t>
  </si>
  <si>
    <t>ENR002</t>
  </si>
  <si>
    <t>ENR003</t>
  </si>
  <si>
    <t>ENR004</t>
  </si>
  <si>
    <t>ENR005</t>
  </si>
  <si>
    <t>ENR006</t>
  </si>
  <si>
    <t>ENR007</t>
  </si>
  <si>
    <t>ENR008</t>
  </si>
  <si>
    <t>ENR009</t>
  </si>
  <si>
    <t>ENR010</t>
  </si>
  <si>
    <t>ENR011</t>
  </si>
  <si>
    <t>ENR012</t>
  </si>
  <si>
    <t>ENR013</t>
  </si>
  <si>
    <t>ENR014</t>
  </si>
  <si>
    <t>ENR015</t>
  </si>
  <si>
    <t>ENR016</t>
  </si>
  <si>
    <t>ENR017</t>
  </si>
  <si>
    <t>ENR018</t>
  </si>
  <si>
    <t>ENR019</t>
  </si>
  <si>
    <t>ENR020</t>
  </si>
  <si>
    <t>ENR021</t>
  </si>
  <si>
    <t>ENR022</t>
  </si>
  <si>
    <t>ENR023</t>
  </si>
  <si>
    <t>ENR024</t>
  </si>
  <si>
    <t>ENR025</t>
  </si>
  <si>
    <t>ENR026</t>
  </si>
  <si>
    <t>ENR027</t>
  </si>
  <si>
    <t>ENR028</t>
  </si>
  <si>
    <t>ENR029</t>
  </si>
  <si>
    <t>ENR030</t>
  </si>
  <si>
    <t>ENR031</t>
  </si>
  <si>
    <t>ENR032</t>
  </si>
  <si>
    <t>ENR033</t>
  </si>
  <si>
    <t>ENR034</t>
  </si>
  <si>
    <t>ENR035</t>
  </si>
  <si>
    <t>ENR036</t>
  </si>
  <si>
    <t>ENR037</t>
  </si>
  <si>
    <t>ENR038</t>
  </si>
  <si>
    <t>ENR039</t>
  </si>
  <si>
    <t>ENR040</t>
  </si>
  <si>
    <t>ENR041</t>
  </si>
  <si>
    <t>ENR042</t>
  </si>
  <si>
    <t>ENR043</t>
  </si>
  <si>
    <t>ENR044</t>
  </si>
  <si>
    <t>ENR045</t>
  </si>
  <si>
    <t>ENR046</t>
  </si>
  <si>
    <t>ENR047</t>
  </si>
  <si>
    <t>ENR048</t>
  </si>
  <si>
    <t>ENR049</t>
  </si>
  <si>
    <t>ENR050</t>
  </si>
  <si>
    <t>ENR051</t>
  </si>
  <si>
    <t>ENR052</t>
  </si>
  <si>
    <t>ENR053</t>
  </si>
  <si>
    <t>ENR054</t>
  </si>
  <si>
    <t>ENR055</t>
  </si>
  <si>
    <t>ENR056</t>
  </si>
  <si>
    <t>ENR057</t>
  </si>
  <si>
    <t>ENR058</t>
  </si>
  <si>
    <t>ENR059</t>
  </si>
  <si>
    <t>ENR060</t>
  </si>
  <si>
    <t>ENR061</t>
  </si>
  <si>
    <t>ENR062</t>
  </si>
  <si>
    <t>ENR063</t>
  </si>
  <si>
    <t>ENR064</t>
  </si>
  <si>
    <t>ENR065</t>
  </si>
  <si>
    <t>ENR066</t>
  </si>
  <si>
    <t>ENR067</t>
  </si>
  <si>
    <t>ENR068</t>
  </si>
  <si>
    <t>ENR069</t>
  </si>
  <si>
    <t>ENR070</t>
  </si>
  <si>
    <t>ENR071</t>
  </si>
  <si>
    <t>ENR072</t>
  </si>
  <si>
    <t>ENR073</t>
  </si>
  <si>
    <t>ENR074</t>
  </si>
  <si>
    <t>ENR075</t>
  </si>
  <si>
    <t>ENR076</t>
  </si>
  <si>
    <t>ENR077</t>
  </si>
  <si>
    <t>ENR078</t>
  </si>
  <si>
    <t>ENR079</t>
  </si>
  <si>
    <t>ENR080</t>
  </si>
  <si>
    <t>ENR081</t>
  </si>
  <si>
    <t>ENR082</t>
  </si>
  <si>
    <t>ENR083</t>
  </si>
  <si>
    <t>ENR084</t>
  </si>
  <si>
    <t>ENR085</t>
  </si>
  <si>
    <t>ENR086</t>
  </si>
  <si>
    <t>ENR087</t>
  </si>
  <si>
    <t>ENR088</t>
  </si>
  <si>
    <t>ENR089</t>
  </si>
  <si>
    <t>ENR090</t>
  </si>
  <si>
    <t>ENR091</t>
  </si>
  <si>
    <t>ENR092</t>
  </si>
  <si>
    <t>ENR093</t>
  </si>
  <si>
    <t>ENR094</t>
  </si>
  <si>
    <t>ENR095</t>
  </si>
  <si>
    <t>ENR096</t>
  </si>
  <si>
    <t>ENR097</t>
  </si>
  <si>
    <t>ENR098</t>
  </si>
  <si>
    <t>ENR099</t>
  </si>
  <si>
    <t>ENR100</t>
  </si>
  <si>
    <t>ENR101</t>
  </si>
  <si>
    <t>ENR102</t>
  </si>
  <si>
    <t>ENR103</t>
  </si>
  <si>
    <t>ENR104</t>
  </si>
  <si>
    <t>ENR105</t>
  </si>
  <si>
    <t>ENR106</t>
  </si>
  <si>
    <t>ENR107</t>
  </si>
  <si>
    <t>ENR108</t>
  </si>
  <si>
    <t>ENR109</t>
  </si>
  <si>
    <t>ENR110</t>
  </si>
  <si>
    <t>ENR111</t>
  </si>
  <si>
    <t>ENR112</t>
  </si>
  <si>
    <t>ENR113</t>
  </si>
  <si>
    <t>ENR114</t>
  </si>
  <si>
    <t>ENR115</t>
  </si>
  <si>
    <t>ENR116</t>
  </si>
  <si>
    <t>ENR117</t>
  </si>
  <si>
    <t>ENR118</t>
  </si>
  <si>
    <t>ENR119</t>
  </si>
  <si>
    <t>ENR120</t>
  </si>
  <si>
    <t>ENR121</t>
  </si>
  <si>
    <t>ENR122</t>
  </si>
  <si>
    <t>ENR123</t>
  </si>
  <si>
    <t>ENR124</t>
  </si>
  <si>
    <t>ENR125</t>
  </si>
  <si>
    <t>ENR126</t>
  </si>
  <si>
    <t>ENR127</t>
  </si>
  <si>
    <t>ENR128</t>
  </si>
  <si>
    <t>ENR129</t>
  </si>
  <si>
    <t>ENR130</t>
  </si>
  <si>
    <t>ENR131</t>
  </si>
  <si>
    <t>ENR132</t>
  </si>
  <si>
    <t>ENR133</t>
  </si>
  <si>
    <t>ENR134</t>
  </si>
  <si>
    <t>ENR135</t>
  </si>
  <si>
    <t>ENR136</t>
  </si>
  <si>
    <t>ENR137</t>
  </si>
  <si>
    <t>ENR138</t>
  </si>
  <si>
    <t>ENR139</t>
  </si>
  <si>
    <t>ENR140</t>
  </si>
  <si>
    <t>ENR141</t>
  </si>
  <si>
    <t>ENR142</t>
  </si>
  <si>
    <t>ENR143</t>
  </si>
  <si>
    <t>ENR144</t>
  </si>
  <si>
    <t>ENR145</t>
  </si>
  <si>
    <t>ENR146</t>
  </si>
  <si>
    <t>ENR147</t>
  </si>
  <si>
    <t>ENR148</t>
  </si>
  <si>
    <t>ENR149</t>
  </si>
  <si>
    <t>ENR150</t>
  </si>
  <si>
    <t>ENR151</t>
  </si>
  <si>
    <t>ENR152</t>
  </si>
  <si>
    <t>ENR153</t>
  </si>
  <si>
    <t>ENR154</t>
  </si>
  <si>
    <t>ENR155</t>
  </si>
  <si>
    <t>ENR156</t>
  </si>
  <si>
    <t>ENR157</t>
  </si>
  <si>
    <t>ENR158</t>
  </si>
  <si>
    <t>ENR159</t>
  </si>
  <si>
    <t>ENR160</t>
  </si>
  <si>
    <t>ENR161</t>
  </si>
  <si>
    <t>ENR162</t>
  </si>
  <si>
    <t>ENR163</t>
  </si>
  <si>
    <t>ENR164</t>
  </si>
  <si>
    <t>ENR165</t>
  </si>
  <si>
    <t>ENR166</t>
  </si>
  <si>
    <t>ENR167</t>
  </si>
  <si>
    <t>ENR168</t>
  </si>
  <si>
    <t>ENR169</t>
  </si>
  <si>
    <t>ENR170</t>
  </si>
  <si>
    <t>ENR171</t>
  </si>
  <si>
    <t>ENR172</t>
  </si>
  <si>
    <t>ENR173</t>
  </si>
  <si>
    <t>ENR174</t>
  </si>
  <si>
    <t>ENR175</t>
  </si>
  <si>
    <t>ENR176</t>
  </si>
  <si>
    <t>ENR177</t>
  </si>
  <si>
    <t>ENR178</t>
  </si>
  <si>
    <t>ENR179</t>
  </si>
  <si>
    <t>ENR180</t>
  </si>
  <si>
    <t>ENR181</t>
  </si>
  <si>
    <t>ENR182</t>
  </si>
  <si>
    <t>ENR183</t>
  </si>
  <si>
    <t>ENR184</t>
  </si>
  <si>
    <t>ENR185</t>
  </si>
  <si>
    <t>ENR186</t>
  </si>
  <si>
    <t>ENR187</t>
  </si>
  <si>
    <t>ENR188</t>
  </si>
  <si>
    <t>ENR189</t>
  </si>
  <si>
    <t>ENR190</t>
  </si>
  <si>
    <t>ENR191</t>
  </si>
  <si>
    <t>ENR192</t>
  </si>
  <si>
    <t>ENR193</t>
  </si>
  <si>
    <t>ENR194</t>
  </si>
  <si>
    <t>ENR195</t>
  </si>
  <si>
    <t>ENR196</t>
  </si>
  <si>
    <t>ENR197</t>
  </si>
  <si>
    <t>ENR198</t>
  </si>
  <si>
    <t>ENR199</t>
  </si>
  <si>
    <t>ENR200</t>
  </si>
  <si>
    <t>ENR201</t>
  </si>
  <si>
    <t>ENR202</t>
  </si>
  <si>
    <t>ENR203</t>
  </si>
  <si>
    <t>ENR204</t>
  </si>
  <si>
    <t>ENR205</t>
  </si>
  <si>
    <t>ENR206</t>
  </si>
  <si>
    <t>ENR207</t>
  </si>
  <si>
    <t>22224.4  - Solve the differential equation of first order and first degree using suitable methods</t>
  </si>
  <si>
    <t>Course code</t>
  </si>
  <si>
    <r>
      <rPr>
        <b/>
        <sz val="12"/>
        <color theme="1"/>
        <rFont val="Calibri"/>
        <family val="2"/>
        <scheme val="minor"/>
      </rPr>
      <t>PROJECT TITLE:</t>
    </r>
    <r>
      <rPr>
        <sz val="12"/>
        <color theme="1"/>
        <rFont val="Calibri"/>
        <family val="2"/>
        <scheme val="minor"/>
      </rPr>
      <t xml:space="preserve"> Academic Performance &amp; CO-PO Attainment Analysis Using Excel</t>
    </r>
  </si>
  <si>
    <r>
      <rPr>
        <b/>
        <sz val="12"/>
        <color theme="1"/>
        <rFont val="Calibri"/>
        <family val="2"/>
        <scheme val="minor"/>
      </rPr>
      <t xml:space="preserve">OBJECTIVE: </t>
    </r>
    <r>
      <rPr>
        <sz val="12"/>
        <color theme="1"/>
        <rFont val="Calibri"/>
        <family val="2"/>
        <scheme val="minor"/>
      </rPr>
      <t>Analyze academic assessment data and calculate course outcome
attainment to support academic monitoring and continuous improvement.</t>
    </r>
  </si>
  <si>
    <r>
      <rPr>
        <b/>
        <sz val="12"/>
        <color theme="1"/>
        <rFont val="Calibri"/>
        <family val="2"/>
        <scheme val="minor"/>
      </rPr>
      <t>TOOLS:</t>
    </r>
    <r>
      <rPr>
        <sz val="12"/>
        <color theme="1"/>
        <rFont val="Calibri"/>
        <family val="2"/>
        <scheme val="minor"/>
      </rPr>
      <t xml:space="preserve"> Microsoft Excel</t>
    </r>
  </si>
  <si>
    <r>
      <t xml:space="preserve">KEY ANALYSIS:
</t>
    </r>
    <r>
      <rPr>
        <sz val="12"/>
        <color theme="1"/>
        <rFont val="Calibri"/>
        <family val="2"/>
        <scheme val="minor"/>
      </rPr>
      <t>• Assessment data analysis
• Data validation
• CO attainment calculation
• CO-PO/PSO mapping
• Target vs actual attainment
• Internal and external assessment analysis
• Dashboard reporting
• Observation and action-taken analysis</t>
    </r>
  </si>
  <si>
    <r>
      <rPr>
        <b/>
        <sz val="12"/>
        <color theme="1"/>
        <rFont val="Calibri"/>
        <family val="2"/>
        <scheme val="minor"/>
      </rPr>
      <t>DATA PRIVACY:</t>
    </r>
    <r>
      <rPr>
        <sz val="12"/>
        <color theme="1"/>
        <rFont val="Calibri"/>
        <family val="2"/>
        <scheme val="minor"/>
      </rPr>
      <t xml:space="preserve"> The public portfolio version uses anonymized/aggregated or synthetically recreated data. No personally identifiable student information is included.</t>
    </r>
  </si>
  <si>
    <t>Academic Performance &amp; CO-PO Attainment Dashboard</t>
  </si>
  <si>
    <t>TOTAL STUDENTS</t>
  </si>
  <si>
    <t>NUMBER OF COs</t>
  </si>
  <si>
    <t>AVERAGE CO ATTAINMENT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</si>
</sst>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0" x14ac:knownFonts="1">
    <font>
      <sz val="11"/>
      <color theme="1"/>
      <name val="Calibri"/>
      <family val="2"/>
      <scheme val="minor"/>
    </font>
    <font>
      <b/>
      <sz val="11"/>
      <color theme="1"/>
      <name val="Calibri"/>
      <family val="2"/>
      <scheme val="minor"/>
    </font>
    <font>
      <b/>
      <sz val="12"/>
      <color theme="1"/>
      <name val="Calibri"/>
      <family val="2"/>
      <scheme val="minor"/>
    </font>
    <font>
      <b/>
      <sz val="14"/>
      <name val="Times New Roman"/>
      <family val="1"/>
    </font>
    <font>
      <sz val="11"/>
      <color theme="1"/>
      <name val="Calibri"/>
      <family val="2"/>
      <scheme val="minor"/>
    </font>
    <font>
      <sz val="12"/>
      <color theme="1"/>
      <name val="Calibri"/>
      <family val="2"/>
      <scheme val="minor"/>
    </font>
    <font>
      <b/>
      <sz val="10"/>
      <color theme="1"/>
      <name val="Calibri"/>
      <family val="2"/>
      <scheme val="minor"/>
    </font>
    <font>
      <sz val="12"/>
      <color rgb="FF000000"/>
      <name val="Times New Roman"/>
      <family val="1"/>
    </font>
    <font>
      <sz val="8"/>
      <name val="Calibri"/>
      <family val="2"/>
      <scheme val="minor"/>
    </font>
    <font>
      <b/>
      <sz val="14"/>
      <color theme="1"/>
      <name val="Calibri"/>
      <family val="2"/>
      <scheme val="minor"/>
    </font>
    <font>
      <b/>
      <sz val="11"/>
      <color rgb="FF000000"/>
      <name val="Times New Roman"/>
      <family val="1"/>
    </font>
    <font>
      <sz val="11"/>
      <color theme="1"/>
      <name val="Wingdings"/>
      <charset val="2"/>
    </font>
    <font>
      <sz val="7"/>
      <color theme="1"/>
      <name val="Times New Roman"/>
      <family val="1"/>
    </font>
    <font>
      <sz val="11"/>
      <color rgb="FF000000"/>
      <name val="Times New Roman"/>
      <family val="1"/>
    </font>
    <font>
      <sz val="11"/>
      <color rgb="FF000000"/>
      <name val="Wingdings"/>
      <charset val="2"/>
    </font>
    <font>
      <sz val="7"/>
      <color rgb="FF000000"/>
      <name val="Times New Roman"/>
      <family val="1"/>
    </font>
    <font>
      <b/>
      <sz val="11"/>
      <color theme="1"/>
      <name val="Times New Roman"/>
      <family val="1"/>
    </font>
    <font>
      <b/>
      <sz val="11"/>
      <color rgb="FFFF0000"/>
      <name val="Calibri"/>
      <family val="2"/>
      <scheme val="minor"/>
    </font>
    <font>
      <b/>
      <sz val="12"/>
      <color theme="1"/>
      <name val="Times New Roman"/>
      <family val="1"/>
    </font>
    <font>
      <sz val="12"/>
      <color theme="1"/>
      <name val="Times New Roman"/>
      <family val="1"/>
    </font>
    <font>
      <b/>
      <sz val="12"/>
      <name val="Times New Roman"/>
      <family val="1"/>
    </font>
    <font>
      <sz val="11"/>
      <color theme="1"/>
      <name val="Times New Roman"/>
      <family val="1"/>
    </font>
    <font>
      <b/>
      <sz val="11"/>
      <color rgb="FFFF0000"/>
      <name val="Times New Roman"/>
      <family val="1"/>
    </font>
    <font>
      <b/>
      <i/>
      <sz val="11"/>
      <color theme="1"/>
      <name val="Times New Roman"/>
      <family val="1"/>
    </font>
    <font>
      <sz val="10"/>
      <color theme="1"/>
      <name val="Times New Roman"/>
      <family val="1"/>
    </font>
    <font>
      <b/>
      <sz val="10"/>
      <color theme="1"/>
      <name val="Times New Roman"/>
      <family val="1"/>
    </font>
    <font>
      <sz val="11"/>
      <color rgb="FFFF0000"/>
      <name val="Calibri"/>
      <family val="2"/>
      <scheme val="minor"/>
    </font>
    <font>
      <b/>
      <sz val="11"/>
      <color theme="3" tint="-0.249977111117893"/>
      <name val="Calibri"/>
      <family val="2"/>
      <scheme val="minor"/>
    </font>
    <font>
      <sz val="11"/>
      <name val="Calibri"/>
      <family val="2"/>
      <scheme val="minor"/>
    </font>
    <font>
      <sz val="10"/>
      <color theme="1"/>
      <name val="Arial"/>
      <family val="2"/>
    </font>
    <font>
      <b/>
      <sz val="14"/>
      <color theme="1"/>
      <name val="Times New Roman"/>
      <family val="1"/>
    </font>
    <font>
      <b/>
      <sz val="10"/>
      <color rgb="FF000000"/>
      <name val="Times New Roman"/>
      <family val="1"/>
    </font>
    <font>
      <b/>
      <sz val="11"/>
      <name val="Calibri"/>
      <family val="2"/>
      <scheme val="minor"/>
    </font>
    <font>
      <sz val="11"/>
      <name val="Calibri"/>
      <family val="2"/>
    </font>
    <font>
      <sz val="10"/>
      <name val="Arial"/>
      <family val="2"/>
    </font>
    <font>
      <sz val="12"/>
      <color rgb="FF000000"/>
      <name val="Calibri"/>
      <family val="2"/>
    </font>
    <font>
      <sz val="12"/>
      <name val="Calibri"/>
      <family val="2"/>
    </font>
    <font>
      <b/>
      <sz val="12"/>
      <color rgb="FF000000"/>
      <name val="Times New Roman"/>
      <family val="1"/>
    </font>
    <font>
      <sz val="12"/>
      <name val="Times New Roman"/>
      <family val="1"/>
    </font>
    <font>
      <b/>
      <sz val="12"/>
      <color rgb="FF000000"/>
      <name val="Calibri"/>
      <family val="2"/>
    </font>
    <font>
      <b/>
      <sz val="12"/>
      <color rgb="FFFF0000"/>
      <name val="Times New Roman"/>
      <family val="1"/>
    </font>
    <font>
      <b/>
      <sz val="12"/>
      <color theme="0"/>
      <name val="Times New Roman"/>
      <family val="1"/>
    </font>
    <font>
      <b/>
      <sz val="12"/>
      <color theme="5" tint="-0.499984740745262"/>
      <name val="Times New Roman"/>
      <family val="1"/>
    </font>
    <font>
      <b/>
      <sz val="11"/>
      <color theme="5" tint="-0.249977111117893"/>
      <name val="Times New Roman"/>
      <family val="1"/>
    </font>
    <font>
      <b/>
      <sz val="16"/>
      <color rgb="FF000000"/>
      <name val="Times New Roman"/>
      <family val="1"/>
    </font>
    <font>
      <b/>
      <sz val="12"/>
      <color rgb="FF212529"/>
      <name val="Times New Roman"/>
      <family val="1"/>
    </font>
    <font>
      <sz val="12"/>
      <color theme="1"/>
      <name val="Calibri"/>
      <family val="2"/>
    </font>
    <font>
      <b/>
      <sz val="12"/>
      <color theme="3" tint="-0.249977111117893"/>
      <name val="Times New Roman"/>
      <family val="1"/>
    </font>
    <font>
      <sz val="10.5"/>
      <color theme="1"/>
      <name val="Times New Roman"/>
      <family val="1"/>
    </font>
    <font>
      <b/>
      <sz val="11"/>
      <color theme="1"/>
      <name val="Calibri"/>
      <family val="2"/>
    </font>
    <font>
      <sz val="11"/>
      <color rgb="FF000000"/>
      <name val="Calibri"/>
      <family val="2"/>
    </font>
    <font>
      <b/>
      <sz val="11"/>
      <color rgb="FFFF0000"/>
      <name val="Calibri"/>
      <family val="2"/>
    </font>
    <font>
      <sz val="10"/>
      <color rgb="FF000000"/>
      <name val="Arial"/>
      <family val="2"/>
    </font>
    <font>
      <b/>
      <sz val="11"/>
      <color rgb="FF000000"/>
      <name val="Calibri"/>
      <family val="2"/>
    </font>
    <font>
      <sz val="12"/>
      <color rgb="FFFF0000"/>
      <name val="Times New Roman"/>
      <family val="1"/>
    </font>
    <font>
      <sz val="11"/>
      <color rgb="FF000000"/>
      <name val="Calibri"/>
      <family val="2"/>
      <scheme val="minor"/>
    </font>
    <font>
      <b/>
      <sz val="12"/>
      <color theme="1"/>
      <name val="Calibri"/>
      <family val="2"/>
    </font>
    <font>
      <sz val="12"/>
      <color theme="5" tint="-0.499984740745262"/>
      <name val="Times New Roman"/>
      <family val="1"/>
    </font>
    <font>
      <b/>
      <sz val="14"/>
      <color rgb="FF7030A0"/>
      <name val="Calibri"/>
      <family val="2"/>
      <scheme val="minor"/>
    </font>
    <font>
      <b/>
      <sz val="11"/>
      <color rgb="FF0070C0"/>
      <name val="Calibri"/>
      <family val="2"/>
      <scheme val="minor"/>
    </font>
  </fonts>
  <fills count="44">
    <fill>
      <patternFill patternType="none"/>
    </fill>
    <fill>
      <patternFill patternType="gray125"/>
    </fill>
    <fill>
      <patternFill patternType="solid">
        <fgColor theme="0"/>
        <bgColor indexed="64"/>
      </patternFill>
    </fill>
    <fill>
      <patternFill patternType="solid">
        <fgColor theme="2" tint="-0.249977111117893"/>
        <bgColor indexed="64"/>
      </patternFill>
    </fill>
    <fill>
      <patternFill patternType="solid">
        <fgColor rgb="FFFFFF00"/>
        <bgColor indexed="64"/>
      </patternFill>
    </fill>
    <fill>
      <patternFill patternType="solid">
        <fgColor rgb="FF92D050"/>
        <bgColor indexed="64"/>
      </patternFill>
    </fill>
    <fill>
      <patternFill patternType="solid">
        <fgColor theme="7" tint="0.59999389629810485"/>
        <bgColor indexed="64"/>
      </patternFill>
    </fill>
    <fill>
      <patternFill patternType="solid">
        <fgColor theme="9" tint="-0.249977111117893"/>
        <bgColor indexed="64"/>
      </patternFill>
    </fill>
    <fill>
      <patternFill patternType="solid">
        <fgColor rgb="FF00B0F0"/>
        <bgColor indexed="64"/>
      </patternFill>
    </fill>
    <fill>
      <patternFill patternType="solid">
        <fgColor rgb="FFFFFFFF"/>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rgb="FFB8CCE4"/>
        <bgColor indexed="64"/>
      </patternFill>
    </fill>
    <fill>
      <patternFill patternType="solid">
        <fgColor theme="9" tint="0.59999389629810485"/>
        <bgColor indexed="64"/>
      </patternFill>
    </fill>
    <fill>
      <patternFill patternType="solid">
        <fgColor theme="9" tint="0.59996337778862885"/>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rgb="FFFABF8F"/>
        <bgColor rgb="FFFABF8F"/>
      </patternFill>
    </fill>
    <fill>
      <patternFill patternType="solid">
        <fgColor rgb="FFA5A5A5"/>
        <bgColor rgb="FFA5A5A5"/>
      </patternFill>
    </fill>
    <fill>
      <patternFill patternType="solid">
        <fgColor rgb="FFFFFF00"/>
        <bgColor rgb="FFFFFF00"/>
      </patternFill>
    </fill>
    <fill>
      <patternFill patternType="solid">
        <fgColor rgb="FFFFFFFF"/>
        <bgColor rgb="FFFFFFFF"/>
      </patternFill>
    </fill>
    <fill>
      <patternFill patternType="solid">
        <fgColor theme="9" tint="0.39997558519241921"/>
        <bgColor rgb="FFFABF8F"/>
      </patternFill>
    </fill>
    <fill>
      <patternFill patternType="solid">
        <fgColor rgb="FFFFFF00"/>
        <bgColor rgb="FFFFFFFF"/>
      </patternFill>
    </fill>
    <fill>
      <patternFill patternType="solid">
        <fgColor rgb="FF00B0F0"/>
        <bgColor rgb="FF00B0F0"/>
      </patternFill>
    </fill>
    <fill>
      <patternFill patternType="solid">
        <fgColor rgb="FF7F7F7F"/>
        <bgColor rgb="FF7F7F7F"/>
      </patternFill>
    </fill>
    <fill>
      <patternFill patternType="solid">
        <fgColor rgb="FFE36C09"/>
        <bgColor rgb="FFE36C09"/>
      </patternFill>
    </fill>
    <fill>
      <patternFill patternType="solid">
        <fgColor rgb="FFBFBFBF"/>
        <bgColor rgb="FFBFBFBF"/>
      </patternFill>
    </fill>
    <fill>
      <patternFill patternType="solid">
        <fgColor theme="0" tint="-0.249977111117893"/>
        <bgColor rgb="FFBFBFBF"/>
      </patternFill>
    </fill>
    <fill>
      <patternFill patternType="solid">
        <fgColor theme="0" tint="-0.249977111117893"/>
        <bgColor indexed="64"/>
      </patternFill>
    </fill>
    <fill>
      <patternFill patternType="solid">
        <fgColor rgb="FF00B050"/>
        <bgColor rgb="FF00B050"/>
      </patternFill>
    </fill>
    <fill>
      <patternFill patternType="solid">
        <fgColor theme="0"/>
        <bgColor rgb="FFFFFF00"/>
      </patternFill>
    </fill>
    <fill>
      <patternFill patternType="solid">
        <fgColor theme="0"/>
        <bgColor rgb="FFA5A5A5"/>
      </patternFill>
    </fill>
    <fill>
      <patternFill patternType="solid">
        <fgColor theme="0"/>
        <bgColor rgb="FFFFFFFF"/>
      </patternFill>
    </fill>
    <fill>
      <patternFill patternType="solid">
        <fgColor theme="0"/>
        <bgColor rgb="FFFABF8F"/>
      </patternFill>
    </fill>
    <fill>
      <patternFill patternType="solid">
        <fgColor theme="0"/>
        <bgColor rgb="FF7F7F7F"/>
      </patternFill>
    </fill>
    <fill>
      <patternFill patternType="solid">
        <fgColor theme="0"/>
        <bgColor rgb="FFE36C09"/>
      </patternFill>
    </fill>
    <fill>
      <patternFill patternType="solid">
        <fgColor theme="0"/>
        <bgColor rgb="FF00B050"/>
      </patternFill>
    </fill>
    <fill>
      <patternFill patternType="solid">
        <fgColor theme="0"/>
        <bgColor rgb="FFD99594"/>
      </patternFill>
    </fill>
    <fill>
      <patternFill patternType="solid">
        <fgColor theme="0"/>
        <bgColor rgb="FF548DD4"/>
      </patternFill>
    </fill>
    <fill>
      <patternFill patternType="solid">
        <fgColor theme="0"/>
        <bgColor theme="0"/>
      </patternFill>
    </fill>
  </fills>
  <borders count="1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rgb="FF000000"/>
      </bottom>
      <diagonal/>
    </border>
    <border>
      <left style="medium">
        <color rgb="FF000000"/>
      </left>
      <right/>
      <top/>
      <bottom/>
      <diagonal/>
    </border>
    <border>
      <left style="medium">
        <color indexed="64"/>
      </left>
      <right style="medium">
        <color rgb="FF000000"/>
      </right>
      <top style="medium">
        <color indexed="64"/>
      </top>
      <bottom style="medium">
        <color indexed="64"/>
      </bottom>
      <diagonal/>
    </border>
    <border>
      <left/>
      <right style="medium">
        <color rgb="FF000000"/>
      </right>
      <top style="medium">
        <color indexed="64"/>
      </top>
      <bottom style="medium">
        <color indexed="64"/>
      </bottom>
      <diagonal/>
    </border>
    <border>
      <left/>
      <right style="thin">
        <color indexed="64"/>
      </right>
      <top/>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top style="thin">
        <color rgb="FF000000"/>
      </top>
      <bottom style="thin">
        <color rgb="FF000000"/>
      </bottom>
      <diagonal/>
    </border>
    <border>
      <left/>
      <right style="medium">
        <color indexed="64"/>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medium">
        <color indexed="64"/>
      </bottom>
      <diagonal/>
    </border>
    <border>
      <left style="medium">
        <color indexed="64"/>
      </left>
      <right/>
      <top/>
      <bottom style="thin">
        <color rgb="FF000000"/>
      </bottom>
      <diagonal/>
    </border>
    <border>
      <left/>
      <right/>
      <top/>
      <bottom style="thin">
        <color rgb="FF000000"/>
      </bottom>
      <diagonal/>
    </border>
    <border>
      <left/>
      <right style="medium">
        <color indexed="64"/>
      </right>
      <top/>
      <bottom style="thin">
        <color rgb="FF000000"/>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right style="medium">
        <color indexed="64"/>
      </right>
      <top style="thin">
        <color rgb="FF000000"/>
      </top>
      <bottom style="medium">
        <color indexed="64"/>
      </bottom>
      <diagonal/>
    </border>
    <border>
      <left style="thin">
        <color rgb="FF000000"/>
      </left>
      <right style="thin">
        <color rgb="FF000000"/>
      </right>
      <top style="thin">
        <color rgb="FF000000"/>
      </top>
      <bottom/>
      <diagonal/>
    </border>
    <border>
      <left style="thin">
        <color rgb="FF000000"/>
      </left>
      <right/>
      <top/>
      <bottom/>
      <diagonal/>
    </border>
    <border>
      <left style="medium">
        <color indexed="64"/>
      </left>
      <right style="medium">
        <color indexed="64"/>
      </right>
      <top/>
      <bottom style="thin">
        <color indexed="64"/>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indexed="64"/>
      </right>
      <top/>
      <bottom/>
      <diagonal/>
    </border>
    <border>
      <left style="thin">
        <color rgb="FF000000"/>
      </left>
      <right/>
      <top/>
      <bottom style="thin">
        <color rgb="FF000000"/>
      </bottom>
      <diagonal/>
    </border>
    <border>
      <left style="medium">
        <color indexed="64"/>
      </left>
      <right style="medium">
        <color indexed="64"/>
      </right>
      <top style="thin">
        <color indexed="64"/>
      </top>
      <bottom style="thin">
        <color indexed="64"/>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indexed="64"/>
      </right>
      <top/>
      <bottom style="thin">
        <color rgb="FF000000"/>
      </bottom>
      <diagonal/>
    </border>
    <border>
      <left style="thin">
        <color rgb="FF000000"/>
      </left>
      <right/>
      <top style="thin">
        <color rgb="FF000000"/>
      </top>
      <bottom/>
      <diagonal/>
    </border>
    <border>
      <left style="medium">
        <color indexed="64"/>
      </left>
      <right style="medium">
        <color indexed="64"/>
      </right>
      <top style="medium">
        <color indexed="64"/>
      </top>
      <bottom style="thin">
        <color rgb="FF000000"/>
      </bottom>
      <diagonal/>
    </border>
    <border>
      <left/>
      <right/>
      <top style="medium">
        <color indexed="64"/>
      </top>
      <bottom/>
      <diagonal/>
    </border>
    <border>
      <left style="medium">
        <color indexed="64"/>
      </left>
      <right style="medium">
        <color indexed="64"/>
      </right>
      <top style="thin">
        <color indexed="64"/>
      </top>
      <bottom/>
      <diagonal/>
    </border>
    <border>
      <left style="thin">
        <color rgb="FF000000"/>
      </left>
      <right style="medium">
        <color indexed="64"/>
      </right>
      <top style="thin">
        <color rgb="FF000000"/>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diagonal/>
    </border>
    <border>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medium">
        <color indexed="64"/>
      </right>
      <top style="thin">
        <color rgb="FF000000"/>
      </top>
      <bottom/>
      <diagonal/>
    </border>
    <border>
      <left/>
      <right style="medium">
        <color indexed="64"/>
      </right>
      <top style="thin">
        <color rgb="FF000000"/>
      </top>
      <bottom/>
      <diagonal/>
    </border>
    <border>
      <left style="medium">
        <color indexed="64"/>
      </left>
      <right style="medium">
        <color indexed="64"/>
      </right>
      <top style="thin">
        <color rgb="FF000000"/>
      </top>
      <bottom style="medium">
        <color indexed="64"/>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thin">
        <color rgb="FF000000"/>
      </top>
      <bottom/>
      <diagonal/>
    </border>
    <border>
      <left style="thin">
        <color rgb="FF000000"/>
      </left>
      <right/>
      <top style="medium">
        <color indexed="64"/>
      </top>
      <bottom/>
      <diagonal/>
    </border>
    <border>
      <left/>
      <right style="thin">
        <color rgb="FF000000"/>
      </right>
      <top style="medium">
        <color indexed="64"/>
      </top>
      <bottom/>
      <diagonal/>
    </border>
    <border>
      <left style="medium">
        <color indexed="64"/>
      </left>
      <right style="thin">
        <color indexed="64"/>
      </right>
      <top style="medium">
        <color indexed="64"/>
      </top>
      <bottom style="medium">
        <color indexed="64"/>
      </bottom>
      <diagonal/>
    </border>
    <border>
      <left style="thin">
        <color rgb="FF000000"/>
      </left>
      <right/>
      <top/>
      <bottom style="thin">
        <color indexed="64"/>
      </bottom>
      <diagonal/>
    </border>
    <border>
      <left style="medium">
        <color indexed="64"/>
      </left>
      <right style="thin">
        <color rgb="FF000000"/>
      </right>
      <top style="medium">
        <color indexed="64"/>
      </top>
      <bottom/>
      <diagonal/>
    </border>
    <border>
      <left style="medium">
        <color indexed="64"/>
      </left>
      <right style="thin">
        <color rgb="FF000000"/>
      </right>
      <top/>
      <bottom/>
      <diagonal/>
    </border>
    <border>
      <left style="medium">
        <color indexed="64"/>
      </left>
      <right style="thin">
        <color rgb="FF000000"/>
      </right>
      <top/>
      <bottom style="thin">
        <color rgb="FF000000"/>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
      <left/>
      <right style="thin">
        <color rgb="FF000000"/>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medium">
        <color indexed="64"/>
      </left>
      <right/>
      <top style="thin">
        <color rgb="FF000000"/>
      </top>
      <bottom/>
      <diagonal/>
    </border>
    <border>
      <left style="medium">
        <color rgb="FFCCCCCC"/>
      </left>
      <right style="medium">
        <color rgb="FF000000"/>
      </right>
      <top style="medium">
        <color rgb="FF000000"/>
      </top>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indexed="64"/>
      </left>
      <right/>
      <top style="thin">
        <color rgb="FF000000"/>
      </top>
      <bottom style="thin">
        <color rgb="FF000000"/>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bottom style="thick">
        <color indexed="64"/>
      </bottom>
      <diagonal/>
    </border>
  </borders>
  <cellStyleXfs count="4">
    <xf numFmtId="0" fontId="0" fillId="0" borderId="0"/>
    <xf numFmtId="9" fontId="4" fillId="0" borderId="0" applyFont="0" applyFill="0" applyBorder="0" applyAlignment="0" applyProtection="0"/>
    <xf numFmtId="0" fontId="34" fillId="0" borderId="0"/>
    <xf numFmtId="0" fontId="4" fillId="0" borderId="0"/>
  </cellStyleXfs>
  <cellXfs count="889">
    <xf numFmtId="0" fontId="0" fillId="0" borderId="0" xfId="0"/>
    <xf numFmtId="0" fontId="0" fillId="2" borderId="0" xfId="0" applyFill="1"/>
    <xf numFmtId="0" fontId="5" fillId="2" borderId="0" xfId="0" applyFont="1" applyFill="1"/>
    <xf numFmtId="0" fontId="1" fillId="2" borderId="1" xfId="0" applyFont="1" applyFill="1" applyBorder="1" applyAlignment="1">
      <alignment horizontal="center" vertical="center"/>
    </xf>
    <xf numFmtId="0" fontId="1" fillId="2" borderId="0" xfId="0" applyFont="1" applyFill="1" applyAlignment="1">
      <alignment horizontal="center" vertical="center"/>
    </xf>
    <xf numFmtId="0" fontId="0" fillId="2" borderId="0" xfId="0" applyFill="1" applyAlignment="1">
      <alignment horizontal="center" vertical="center"/>
    </xf>
    <xf numFmtId="0" fontId="2" fillId="2" borderId="1" xfId="0" applyFont="1" applyFill="1" applyBorder="1" applyAlignment="1">
      <alignment horizontal="center" vertical="center"/>
    </xf>
    <xf numFmtId="2" fontId="0" fillId="2" borderId="1" xfId="0" applyNumberFormat="1" applyFill="1" applyBorder="1" applyAlignment="1">
      <alignment horizontal="center" vertical="center"/>
    </xf>
    <xf numFmtId="0" fontId="1" fillId="2" borderId="0" xfId="0" applyFont="1" applyFill="1"/>
    <xf numFmtId="0" fontId="1" fillId="4" borderId="2" xfId="0" applyFont="1" applyFill="1" applyBorder="1"/>
    <xf numFmtId="0" fontId="1" fillId="4" borderId="1" xfId="0" applyFont="1" applyFill="1" applyBorder="1" applyAlignment="1">
      <alignment horizontal="center"/>
    </xf>
    <xf numFmtId="0" fontId="1" fillId="5" borderId="2" xfId="0" applyFont="1" applyFill="1" applyBorder="1"/>
    <xf numFmtId="0" fontId="1" fillId="5" borderId="1" xfId="0" applyFont="1" applyFill="1" applyBorder="1" applyAlignment="1">
      <alignment horizontal="center"/>
    </xf>
    <xf numFmtId="2" fontId="1" fillId="5" borderId="1" xfId="0" applyNumberFormat="1" applyFont="1" applyFill="1" applyBorder="1" applyAlignment="1">
      <alignment horizontal="center"/>
    </xf>
    <xf numFmtId="2" fontId="1" fillId="6" borderId="1" xfId="0" applyNumberFormat="1" applyFont="1" applyFill="1" applyBorder="1" applyAlignment="1">
      <alignment horizontal="center"/>
    </xf>
    <xf numFmtId="0" fontId="1" fillId="7" borderId="1" xfId="0" applyFont="1" applyFill="1" applyBorder="1" applyAlignment="1">
      <alignment horizontal="center" vertical="center"/>
    </xf>
    <xf numFmtId="0" fontId="1" fillId="3" borderId="2" xfId="0" applyFont="1" applyFill="1" applyBorder="1" applyAlignment="1">
      <alignment horizontal="center"/>
    </xf>
    <xf numFmtId="0" fontId="1" fillId="3" borderId="4" xfId="0" applyFont="1" applyFill="1" applyBorder="1" applyAlignment="1">
      <alignment horizontal="center"/>
    </xf>
    <xf numFmtId="2" fontId="1" fillId="2" borderId="0" xfId="0" applyNumberFormat="1" applyFont="1" applyFill="1" applyAlignment="1">
      <alignment horizontal="center" vertical="center"/>
    </xf>
    <xf numFmtId="0" fontId="0" fillId="2" borderId="0" xfId="0" applyFill="1" applyAlignment="1">
      <alignment horizontal="left" wrapText="1"/>
    </xf>
    <xf numFmtId="0" fontId="2" fillId="0" borderId="0" xfId="0" applyFont="1" applyAlignment="1">
      <alignment horizontal="center"/>
    </xf>
    <xf numFmtId="0" fontId="1" fillId="0" borderId="0" xfId="0" applyFont="1" applyAlignment="1">
      <alignment horizontal="center"/>
    </xf>
    <xf numFmtId="0" fontId="10" fillId="9" borderId="23" xfId="0" applyFont="1" applyFill="1" applyBorder="1" applyAlignment="1">
      <alignment horizontal="center" vertical="center" wrapText="1"/>
    </xf>
    <xf numFmtId="0" fontId="10" fillId="9" borderId="24" xfId="0" applyFont="1" applyFill="1" applyBorder="1" applyAlignment="1">
      <alignment horizontal="center" vertical="center" wrapText="1"/>
    </xf>
    <xf numFmtId="0" fontId="11" fillId="9" borderId="25" xfId="0" applyFont="1" applyFill="1" applyBorder="1" applyAlignment="1">
      <alignment horizontal="left" vertical="center" wrapText="1"/>
    </xf>
    <xf numFmtId="0" fontId="14" fillId="9" borderId="25" xfId="0" applyFont="1" applyFill="1" applyBorder="1" applyAlignment="1">
      <alignment horizontal="left" vertical="center" wrapText="1"/>
    </xf>
    <xf numFmtId="0" fontId="0" fillId="9" borderId="22" xfId="0" applyFill="1" applyBorder="1" applyAlignment="1">
      <alignment vertical="center" wrapText="1"/>
    </xf>
    <xf numFmtId="0" fontId="11" fillId="9" borderId="23" xfId="0" applyFont="1" applyFill="1" applyBorder="1" applyAlignment="1">
      <alignment horizontal="left" vertical="center" wrapText="1"/>
    </xf>
    <xf numFmtId="0" fontId="0" fillId="9" borderId="23" xfId="0" applyFill="1" applyBorder="1" applyAlignment="1">
      <alignment vertical="top" wrapText="1"/>
    </xf>
    <xf numFmtId="0" fontId="16" fillId="0" borderId="28" xfId="0" applyFont="1" applyBorder="1" applyAlignment="1">
      <alignment horizontal="center" vertical="center" wrapText="1"/>
    </xf>
    <xf numFmtId="0" fontId="16" fillId="0" borderId="17" xfId="0" applyFont="1" applyBorder="1" applyAlignment="1">
      <alignment horizontal="center" vertical="center" wrapText="1"/>
    </xf>
    <xf numFmtId="0" fontId="16" fillId="0" borderId="26" xfId="0" applyFont="1" applyBorder="1" applyAlignment="1">
      <alignment horizontal="center" vertical="center" wrapText="1"/>
    </xf>
    <xf numFmtId="0" fontId="16" fillId="0" borderId="27" xfId="0" applyFont="1" applyBorder="1" applyAlignment="1">
      <alignment horizontal="center" vertical="center" wrapText="1"/>
    </xf>
    <xf numFmtId="0" fontId="1" fillId="2" borderId="1" xfId="0" applyFont="1" applyFill="1" applyBorder="1" applyAlignment="1">
      <alignment horizontal="center" vertical="center" wrapText="1"/>
    </xf>
    <xf numFmtId="0" fontId="16" fillId="11" borderId="1" xfId="0" applyFont="1" applyFill="1" applyBorder="1" applyAlignment="1">
      <alignment horizontal="center" vertical="center"/>
    </xf>
    <xf numFmtId="0" fontId="21" fillId="11" borderId="1" xfId="0" applyFont="1" applyFill="1" applyBorder="1" applyAlignment="1">
      <alignment horizontal="center"/>
    </xf>
    <xf numFmtId="0" fontId="16" fillId="4" borderId="1" xfId="0" applyFont="1" applyFill="1" applyBorder="1" applyAlignment="1">
      <alignment horizontal="center" vertical="center"/>
    </xf>
    <xf numFmtId="0" fontId="22" fillId="4" borderId="1" xfId="0" applyFont="1" applyFill="1" applyBorder="1" applyAlignment="1">
      <alignment horizontal="center"/>
    </xf>
    <xf numFmtId="0" fontId="21" fillId="2" borderId="1" xfId="0" applyFont="1" applyFill="1" applyBorder="1" applyAlignment="1">
      <alignment horizontal="center"/>
    </xf>
    <xf numFmtId="0" fontId="21" fillId="14" borderId="1" xfId="0" applyFont="1" applyFill="1" applyBorder="1" applyAlignment="1">
      <alignment horizontal="center"/>
    </xf>
    <xf numFmtId="0" fontId="21" fillId="2" borderId="0" xfId="0" applyFont="1" applyFill="1"/>
    <xf numFmtId="0" fontId="21" fillId="5" borderId="1" xfId="0" applyFont="1" applyFill="1" applyBorder="1"/>
    <xf numFmtId="9" fontId="16" fillId="4" borderId="1" xfId="0" applyNumberFormat="1" applyFont="1" applyFill="1" applyBorder="1" applyAlignment="1">
      <alignment horizontal="center"/>
    </xf>
    <xf numFmtId="0" fontId="16" fillId="4" borderId="1" xfId="0" applyFont="1" applyFill="1" applyBorder="1" applyAlignment="1">
      <alignment horizontal="center"/>
    </xf>
    <xf numFmtId="0" fontId="21" fillId="0" borderId="28" xfId="0" applyFont="1" applyBorder="1" applyAlignment="1">
      <alignment horizontal="left" vertical="top" wrapText="1"/>
    </xf>
    <xf numFmtId="0" fontId="21" fillId="0" borderId="28" xfId="0" applyFont="1" applyBorder="1" applyAlignment="1">
      <alignment vertical="top" wrapText="1"/>
    </xf>
    <xf numFmtId="0" fontId="21" fillId="0" borderId="28" xfId="0" applyFont="1" applyBorder="1" applyAlignment="1">
      <alignment vertical="center" wrapText="1"/>
    </xf>
    <xf numFmtId="0" fontId="16" fillId="2" borderId="1" xfId="0" applyFont="1" applyFill="1" applyBorder="1" applyAlignment="1">
      <alignment horizontal="center" vertical="center"/>
    </xf>
    <xf numFmtId="0" fontId="21" fillId="2" borderId="0" xfId="0" applyFont="1" applyFill="1" applyAlignment="1">
      <alignment horizontal="center" vertical="center"/>
    </xf>
    <xf numFmtId="0" fontId="25" fillId="2" borderId="1" xfId="0" applyFont="1" applyFill="1" applyBorder="1" applyAlignment="1">
      <alignment horizontal="center" vertical="center"/>
    </xf>
    <xf numFmtId="0" fontId="16" fillId="2" borderId="0" xfId="0" applyFont="1" applyFill="1" applyAlignment="1">
      <alignment horizontal="center" vertical="center"/>
    </xf>
    <xf numFmtId="0" fontId="16" fillId="2" borderId="1" xfId="0" applyFont="1" applyFill="1" applyBorder="1" applyAlignment="1">
      <alignment horizontal="center" vertical="center" wrapText="1"/>
    </xf>
    <xf numFmtId="9" fontId="16" fillId="2" borderId="1" xfId="0" applyNumberFormat="1" applyFont="1" applyFill="1" applyBorder="1" applyAlignment="1">
      <alignment horizontal="center" vertical="center"/>
    </xf>
    <xf numFmtId="1" fontId="16" fillId="2" borderId="1" xfId="0" applyNumberFormat="1" applyFont="1" applyFill="1" applyBorder="1" applyAlignment="1">
      <alignment horizontal="center" vertical="center"/>
    </xf>
    <xf numFmtId="9" fontId="16" fillId="2" borderId="1" xfId="1" applyFont="1" applyFill="1" applyBorder="1" applyAlignment="1">
      <alignment horizontal="center" vertical="center"/>
    </xf>
    <xf numFmtId="0" fontId="16" fillId="2" borderId="14" xfId="0" applyFont="1" applyFill="1" applyBorder="1" applyAlignment="1">
      <alignment horizontal="center" vertical="center"/>
    </xf>
    <xf numFmtId="0" fontId="21" fillId="2" borderId="1" xfId="0" applyFont="1" applyFill="1" applyBorder="1" applyAlignment="1">
      <alignment horizontal="center" vertical="center"/>
    </xf>
    <xf numFmtId="0" fontId="21" fillId="2" borderId="4" xfId="0" applyFont="1" applyFill="1" applyBorder="1" applyAlignment="1">
      <alignment horizontal="center" vertical="center"/>
    </xf>
    <xf numFmtId="0" fontId="18" fillId="0" borderId="0" xfId="0" applyFont="1" applyAlignment="1">
      <alignment horizontal="center" vertical="center"/>
    </xf>
    <xf numFmtId="0" fontId="0" fillId="2" borderId="1" xfId="0" applyFill="1" applyBorder="1" applyAlignment="1">
      <alignment horizontal="center"/>
    </xf>
    <xf numFmtId="0" fontId="1" fillId="3" borderId="1" xfId="0" applyFont="1" applyFill="1" applyBorder="1" applyAlignment="1">
      <alignment horizontal="center"/>
    </xf>
    <xf numFmtId="0" fontId="1" fillId="0" borderId="0" xfId="0" applyFont="1"/>
    <xf numFmtId="0" fontId="0" fillId="2" borderId="2" xfId="0" applyFill="1" applyBorder="1" applyAlignment="1">
      <alignment horizontal="center" vertical="center"/>
    </xf>
    <xf numFmtId="2" fontId="1" fillId="4" borderId="1" xfId="0" applyNumberFormat="1" applyFont="1" applyFill="1" applyBorder="1" applyAlignment="1">
      <alignment horizontal="center"/>
    </xf>
    <xf numFmtId="0" fontId="19" fillId="0" borderId="1" xfId="0" applyFont="1" applyBorder="1" applyAlignment="1">
      <alignment horizontal="center" vertical="center" wrapText="1"/>
    </xf>
    <xf numFmtId="0" fontId="18" fillId="0" borderId="0" xfId="0" applyFont="1" applyAlignment="1">
      <alignment vertical="center"/>
    </xf>
    <xf numFmtId="2" fontId="0" fillId="2" borderId="0" xfId="0" applyNumberFormat="1" applyFill="1"/>
    <xf numFmtId="0" fontId="0" fillId="2" borderId="6" xfId="0" applyFill="1" applyBorder="1" applyAlignment="1">
      <alignment horizontal="center"/>
    </xf>
    <xf numFmtId="0" fontId="0" fillId="2" borderId="4" xfId="0" applyFill="1" applyBorder="1" applyAlignment="1">
      <alignment horizontal="center"/>
    </xf>
    <xf numFmtId="2" fontId="0" fillId="2" borderId="11" xfId="0" applyNumberFormat="1" applyFill="1" applyBorder="1" applyAlignment="1">
      <alignment horizontal="center"/>
    </xf>
    <xf numFmtId="2" fontId="0" fillId="2" borderId="0" xfId="0" applyNumberFormat="1" applyFill="1" applyAlignment="1">
      <alignment horizontal="center"/>
    </xf>
    <xf numFmtId="0" fontId="0" fillId="2" borderId="11" xfId="0" applyFill="1" applyBorder="1" applyAlignment="1">
      <alignment horizontal="center"/>
    </xf>
    <xf numFmtId="0" fontId="0" fillId="2" borderId="10" xfId="0" applyFill="1" applyBorder="1" applyAlignment="1">
      <alignment horizontal="center"/>
    </xf>
    <xf numFmtId="0" fontId="0" fillId="2" borderId="2" xfId="0" applyFill="1" applyBorder="1" applyAlignment="1">
      <alignment horizontal="center"/>
    </xf>
    <xf numFmtId="0" fontId="2" fillId="5" borderId="1" xfId="0" applyFont="1" applyFill="1" applyBorder="1" applyAlignment="1">
      <alignment horizontal="center" vertical="center"/>
    </xf>
    <xf numFmtId="2" fontId="2" fillId="5" borderId="1" xfId="0" applyNumberFormat="1" applyFont="1" applyFill="1" applyBorder="1" applyAlignment="1">
      <alignment horizontal="center"/>
    </xf>
    <xf numFmtId="0" fontId="6" fillId="2" borderId="0" xfId="0" applyFont="1" applyFill="1" applyAlignment="1">
      <alignment horizontal="center" vertical="center"/>
    </xf>
    <xf numFmtId="2" fontId="1" fillId="2" borderId="6" xfId="0" applyNumberFormat="1" applyFont="1" applyFill="1" applyBorder="1" applyAlignment="1">
      <alignment horizontal="center"/>
    </xf>
    <xf numFmtId="1" fontId="0" fillId="2" borderId="0" xfId="0" applyNumberFormat="1" applyFill="1"/>
    <xf numFmtId="0" fontId="19" fillId="0" borderId="0" xfId="0" applyFont="1"/>
    <xf numFmtId="0" fontId="18" fillId="0" borderId="0" xfId="0" applyFont="1"/>
    <xf numFmtId="0" fontId="19" fillId="0" borderId="0" xfId="0" applyFont="1" applyAlignment="1">
      <alignment horizontal="left" wrapText="1"/>
    </xf>
    <xf numFmtId="0" fontId="19" fillId="0" borderId="0" xfId="0" applyFont="1" applyAlignment="1">
      <alignment horizontal="left"/>
    </xf>
    <xf numFmtId="0" fontId="19" fillId="0" borderId="0" xfId="0" applyFont="1" applyAlignment="1">
      <alignment wrapText="1"/>
    </xf>
    <xf numFmtId="0" fontId="19" fillId="0" borderId="1" xfId="0" applyFont="1" applyBorder="1" applyAlignment="1">
      <alignment horizontal="center" vertical="center"/>
    </xf>
    <xf numFmtId="0" fontId="18" fillId="0" borderId="0" xfId="0" applyFont="1" applyAlignment="1">
      <alignment horizontal="left"/>
    </xf>
    <xf numFmtId="0" fontId="19" fillId="0" borderId="0" xfId="0" applyFont="1" applyAlignment="1">
      <alignment horizontal="left" vertical="top" wrapText="1"/>
    </xf>
    <xf numFmtId="0" fontId="18" fillId="0" borderId="1" xfId="0" applyFont="1" applyBorder="1" applyAlignment="1">
      <alignment horizontal="center"/>
    </xf>
    <xf numFmtId="0" fontId="24" fillId="5" borderId="1" xfId="0" applyFont="1" applyFill="1" applyBorder="1" applyAlignment="1">
      <alignment horizontal="center"/>
    </xf>
    <xf numFmtId="9" fontId="1" fillId="2" borderId="1" xfId="0" applyNumberFormat="1" applyFont="1" applyFill="1" applyBorder="1" applyAlignment="1">
      <alignment horizontal="center"/>
    </xf>
    <xf numFmtId="0" fontId="16" fillId="5" borderId="1" xfId="0" applyFont="1" applyFill="1" applyBorder="1" applyAlignment="1">
      <alignment horizontal="center" vertical="center"/>
    </xf>
    <xf numFmtId="0" fontId="21" fillId="2" borderId="2" xfId="0" applyFont="1" applyFill="1" applyBorder="1" applyAlignment="1">
      <alignment horizontal="left" vertical="center"/>
    </xf>
    <xf numFmtId="9" fontId="1" fillId="2" borderId="1" xfId="0" applyNumberFormat="1" applyFont="1" applyFill="1" applyBorder="1" applyAlignment="1">
      <alignment horizontal="center" vertical="center"/>
    </xf>
    <xf numFmtId="0" fontId="16" fillId="2" borderId="5" xfId="0" applyFont="1" applyFill="1" applyBorder="1" applyAlignment="1">
      <alignment horizontal="center" vertical="center"/>
    </xf>
    <xf numFmtId="0" fontId="29" fillId="0" borderId="1" xfId="0" applyFont="1" applyBorder="1" applyAlignment="1">
      <alignment horizontal="center" vertical="center" wrapText="1"/>
    </xf>
    <xf numFmtId="0" fontId="16" fillId="0" borderId="26" xfId="0" applyFont="1" applyBorder="1" applyAlignment="1">
      <alignment horizontal="left" vertical="top" wrapText="1"/>
    </xf>
    <xf numFmtId="0" fontId="21" fillId="0" borderId="26" xfId="0" applyFont="1" applyBorder="1" applyAlignment="1">
      <alignment horizontal="left" vertical="top" wrapText="1"/>
    </xf>
    <xf numFmtId="0" fontId="21" fillId="0" borderId="28" xfId="0" applyFont="1" applyBorder="1" applyAlignment="1">
      <alignment horizontal="center"/>
    </xf>
    <xf numFmtId="0" fontId="16" fillId="0" borderId="28" xfId="0" applyFont="1" applyBorder="1" applyAlignment="1">
      <alignment horizontal="left" vertical="top" wrapText="1"/>
    </xf>
    <xf numFmtId="0" fontId="16" fillId="0" borderId="28" xfId="0" applyFont="1" applyBorder="1" applyAlignment="1">
      <alignment horizontal="left" vertical="top"/>
    </xf>
    <xf numFmtId="0" fontId="21" fillId="0" borderId="28" xfId="0" applyFont="1" applyBorder="1" applyAlignment="1">
      <alignment horizontal="left" vertical="top"/>
    </xf>
    <xf numFmtId="0" fontId="0" fillId="0" borderId="0" xfId="0" applyAlignment="1">
      <alignment horizontal="left" vertical="center"/>
    </xf>
    <xf numFmtId="0" fontId="0" fillId="0" borderId="0" xfId="0" applyAlignment="1">
      <alignment horizontal="left" vertical="center" wrapText="1"/>
    </xf>
    <xf numFmtId="0" fontId="0" fillId="2" borderId="1" xfId="0" applyFill="1" applyBorder="1"/>
    <xf numFmtId="0" fontId="0" fillId="2" borderId="1" xfId="0" applyFill="1" applyBorder="1" applyAlignment="1">
      <alignment horizontal="center" vertical="center"/>
    </xf>
    <xf numFmtId="0" fontId="29" fillId="0" borderId="4" xfId="0" applyFont="1" applyBorder="1" applyAlignment="1">
      <alignment horizontal="center" vertical="center" wrapText="1"/>
    </xf>
    <xf numFmtId="0" fontId="30" fillId="0" borderId="0" xfId="0" applyFont="1"/>
    <xf numFmtId="0" fontId="7" fillId="0" borderId="27" xfId="0" applyFont="1" applyBorder="1" applyAlignment="1">
      <alignment horizontal="center" vertical="center"/>
    </xf>
    <xf numFmtId="0" fontId="7" fillId="0" borderId="34" xfId="0" applyFont="1" applyBorder="1" applyAlignment="1">
      <alignment horizontal="center" vertical="center"/>
    </xf>
    <xf numFmtId="0" fontId="31" fillId="15" borderId="28" xfId="0" applyFont="1" applyFill="1" applyBorder="1" applyAlignment="1">
      <alignment horizontal="center" vertical="center" wrapText="1"/>
    </xf>
    <xf numFmtId="0" fontId="31" fillId="15" borderId="17" xfId="0" applyFont="1" applyFill="1" applyBorder="1" applyAlignment="1">
      <alignment horizontal="center" vertical="center" wrapText="1"/>
    </xf>
    <xf numFmtId="0" fontId="31" fillId="15" borderId="17" xfId="0" applyFont="1" applyFill="1" applyBorder="1" applyAlignment="1">
      <alignment horizontal="center" vertical="center"/>
    </xf>
    <xf numFmtId="0" fontId="19" fillId="13" borderId="0" xfId="0" applyFont="1" applyFill="1" applyAlignment="1">
      <alignment horizontal="left" vertical="center" wrapText="1"/>
    </xf>
    <xf numFmtId="0" fontId="7" fillId="14" borderId="0" xfId="0" applyFont="1" applyFill="1" applyAlignment="1">
      <alignment horizontal="left"/>
    </xf>
    <xf numFmtId="0" fontId="0" fillId="0" borderId="0" xfId="0" applyAlignment="1">
      <alignment horizontal="left"/>
    </xf>
    <xf numFmtId="0" fontId="21" fillId="2" borderId="1" xfId="0" applyFont="1" applyFill="1" applyBorder="1" applyAlignment="1">
      <alignment vertical="center" wrapText="1"/>
    </xf>
    <xf numFmtId="0" fontId="0" fillId="9" borderId="25" xfId="0" applyFill="1" applyBorder="1" applyAlignment="1">
      <alignment vertical="top" wrapText="1"/>
    </xf>
    <xf numFmtId="0" fontId="0" fillId="9" borderId="42" xfId="0" applyFill="1" applyBorder="1" applyAlignment="1">
      <alignment vertical="center" wrapText="1"/>
    </xf>
    <xf numFmtId="0" fontId="16" fillId="0" borderId="0" xfId="0" applyFont="1" applyAlignment="1">
      <alignment horizontal="center" vertical="center" wrapText="1"/>
    </xf>
    <xf numFmtId="0" fontId="21" fillId="0" borderId="0" xfId="0" applyFont="1" applyAlignment="1">
      <alignment vertical="center" wrapText="1"/>
    </xf>
    <xf numFmtId="0" fontId="10" fillId="9" borderId="43" xfId="0" applyFont="1" applyFill="1" applyBorder="1" applyAlignment="1">
      <alignment horizontal="center" vertical="center" wrapText="1"/>
    </xf>
    <xf numFmtId="0" fontId="10" fillId="9" borderId="44" xfId="0" applyFont="1" applyFill="1" applyBorder="1" applyAlignment="1">
      <alignment horizontal="center" vertical="center" wrapText="1"/>
    </xf>
    <xf numFmtId="0" fontId="10" fillId="9" borderId="17" xfId="0" applyFont="1" applyFill="1" applyBorder="1" applyAlignment="1">
      <alignment horizontal="center" vertical="center" wrapText="1"/>
    </xf>
    <xf numFmtId="0" fontId="0" fillId="0" borderId="0" xfId="0" applyAlignment="1">
      <alignment horizontal="left" wrapText="1"/>
    </xf>
    <xf numFmtId="10" fontId="16" fillId="2" borderId="1" xfId="0" applyNumberFormat="1" applyFont="1" applyFill="1" applyBorder="1" applyAlignment="1">
      <alignment horizontal="center" vertical="center"/>
    </xf>
    <xf numFmtId="0" fontId="32" fillId="16" borderId="1" xfId="0" applyFont="1" applyFill="1" applyBorder="1" applyAlignment="1">
      <alignment horizontal="center" vertical="center"/>
    </xf>
    <xf numFmtId="0" fontId="32" fillId="16" borderId="7" xfId="0" applyFont="1" applyFill="1" applyBorder="1" applyAlignment="1">
      <alignment horizontal="center" vertical="center"/>
    </xf>
    <xf numFmtId="0" fontId="18" fillId="0" borderId="0" xfId="0" applyFont="1" applyAlignment="1">
      <alignment horizontal="center"/>
    </xf>
    <xf numFmtId="0" fontId="19" fillId="0" borderId="0" xfId="0" applyFont="1" applyAlignment="1">
      <alignment horizontal="center" vertical="center" wrapText="1"/>
    </xf>
    <xf numFmtId="0" fontId="16" fillId="3" borderId="1" xfId="0" applyFont="1" applyFill="1" applyBorder="1" applyAlignment="1">
      <alignment vertical="center"/>
    </xf>
    <xf numFmtId="0" fontId="16" fillId="0" borderId="14" xfId="0" applyFont="1" applyBorder="1" applyAlignment="1">
      <alignment vertical="center"/>
    </xf>
    <xf numFmtId="0" fontId="16" fillId="0" borderId="0" xfId="0" applyFont="1" applyAlignment="1">
      <alignment vertical="center"/>
    </xf>
    <xf numFmtId="0" fontId="16" fillId="0" borderId="14" xfId="0" applyFont="1" applyBorder="1" applyAlignment="1">
      <alignment horizontal="center" vertical="center"/>
    </xf>
    <xf numFmtId="0" fontId="16" fillId="0" borderId="0" xfId="0" applyFont="1" applyAlignment="1">
      <alignment horizontal="center" vertical="center"/>
    </xf>
    <xf numFmtId="0" fontId="21" fillId="0" borderId="14" xfId="0" applyFont="1" applyBorder="1" applyAlignment="1">
      <alignment horizontal="center"/>
    </xf>
    <xf numFmtId="0" fontId="21" fillId="0" borderId="0" xfId="0" applyFont="1" applyAlignment="1">
      <alignment horizontal="center"/>
    </xf>
    <xf numFmtId="0" fontId="16" fillId="0" borderId="14" xfId="0" applyFont="1" applyBorder="1" applyAlignment="1">
      <alignment horizontal="center"/>
    </xf>
    <xf numFmtId="0" fontId="16" fillId="0" borderId="0" xfId="0" applyFont="1" applyAlignment="1">
      <alignment horizontal="center"/>
    </xf>
    <xf numFmtId="0" fontId="16" fillId="10" borderId="1" xfId="0" applyFont="1" applyFill="1" applyBorder="1" applyAlignment="1">
      <alignment horizontal="left"/>
    </xf>
    <xf numFmtId="0" fontId="21" fillId="10" borderId="2" xfId="0" applyFont="1" applyFill="1" applyBorder="1" applyAlignment="1">
      <alignment vertical="center"/>
    </xf>
    <xf numFmtId="0" fontId="21" fillId="0" borderId="0" xfId="0" applyFont="1" applyAlignment="1">
      <alignment horizontal="center" vertical="center"/>
    </xf>
    <xf numFmtId="0" fontId="21" fillId="0" borderId="0" xfId="0" applyFont="1" applyAlignment="1">
      <alignment vertical="center"/>
    </xf>
    <xf numFmtId="0" fontId="2" fillId="2" borderId="0" xfId="0" applyFont="1" applyFill="1"/>
    <xf numFmtId="0" fontId="16" fillId="3" borderId="5" xfId="0" applyFont="1" applyFill="1" applyBorder="1" applyAlignment="1">
      <alignment horizontal="center"/>
    </xf>
    <xf numFmtId="0" fontId="22" fillId="4" borderId="5" xfId="0" applyFont="1" applyFill="1" applyBorder="1" applyAlignment="1">
      <alignment horizontal="center"/>
    </xf>
    <xf numFmtId="0" fontId="21" fillId="5" borderId="6" xfId="0" applyFont="1" applyFill="1" applyBorder="1" applyAlignment="1">
      <alignment horizontal="center"/>
    </xf>
    <xf numFmtId="0" fontId="21" fillId="2" borderId="6" xfId="0" applyFont="1" applyFill="1" applyBorder="1" applyAlignment="1">
      <alignment horizontal="center"/>
    </xf>
    <xf numFmtId="0" fontId="16" fillId="3" borderId="1" xfId="0" applyFont="1" applyFill="1" applyBorder="1" applyAlignment="1">
      <alignment horizontal="center" wrapText="1"/>
    </xf>
    <xf numFmtId="0" fontId="7" fillId="0" borderId="28" xfId="0" applyFont="1" applyBorder="1" applyAlignment="1">
      <alignment horizontal="center" vertical="center"/>
    </xf>
    <xf numFmtId="0" fontId="19" fillId="13" borderId="0" xfId="0" applyFont="1" applyFill="1" applyAlignment="1">
      <alignment horizontal="center" vertical="center" wrapText="1"/>
    </xf>
    <xf numFmtId="0" fontId="1" fillId="18" borderId="2" xfId="0" applyFont="1" applyFill="1" applyBorder="1" applyAlignment="1">
      <alignment horizontal="center" vertical="center"/>
    </xf>
    <xf numFmtId="9" fontId="0" fillId="18" borderId="15" xfId="0" applyNumberFormat="1" applyFill="1" applyBorder="1"/>
    <xf numFmtId="0" fontId="0" fillId="18" borderId="35" xfId="0" applyFill="1" applyBorder="1" applyAlignment="1">
      <alignment horizontal="center"/>
    </xf>
    <xf numFmtId="9" fontId="0" fillId="18" borderId="35" xfId="0" applyNumberFormat="1" applyFill="1" applyBorder="1" applyAlignment="1">
      <alignment horizontal="center"/>
    </xf>
    <xf numFmtId="9" fontId="0" fillId="18" borderId="39" xfId="0" applyNumberFormat="1" applyFill="1" applyBorder="1" applyAlignment="1">
      <alignment horizontal="center"/>
    </xf>
    <xf numFmtId="9" fontId="27" fillId="18" borderId="28" xfId="0" applyNumberFormat="1" applyFont="1" applyFill="1" applyBorder="1" applyAlignment="1">
      <alignment horizontal="center"/>
    </xf>
    <xf numFmtId="9" fontId="0" fillId="18" borderId="38" xfId="0" applyNumberFormat="1" applyFill="1" applyBorder="1" applyAlignment="1">
      <alignment horizontal="center"/>
    </xf>
    <xf numFmtId="9" fontId="0" fillId="18" borderId="28" xfId="0" applyNumberFormat="1" applyFill="1" applyBorder="1" applyAlignment="1">
      <alignment horizontal="center"/>
    </xf>
    <xf numFmtId="0" fontId="1" fillId="19" borderId="1" xfId="0" applyFont="1" applyFill="1" applyBorder="1"/>
    <xf numFmtId="0" fontId="1" fillId="19" borderId="5" xfId="0" applyFont="1" applyFill="1" applyBorder="1"/>
    <xf numFmtId="0" fontId="1" fillId="19" borderId="5" xfId="0" applyFont="1" applyFill="1" applyBorder="1" applyAlignment="1">
      <alignment horizontal="center" vertical="center"/>
    </xf>
    <xf numFmtId="0" fontId="1" fillId="4" borderId="5" xfId="0" applyFont="1" applyFill="1" applyBorder="1" applyAlignment="1">
      <alignment horizontal="center" vertical="center"/>
    </xf>
    <xf numFmtId="9" fontId="0" fillId="20" borderId="28" xfId="0" applyNumberFormat="1" applyFill="1" applyBorder="1" applyAlignment="1">
      <alignment horizontal="center" vertical="center" wrapText="1"/>
    </xf>
    <xf numFmtId="0" fontId="7" fillId="0" borderId="0" xfId="0" applyFont="1"/>
    <xf numFmtId="0" fontId="32" fillId="2" borderId="1" xfId="0" applyFont="1" applyFill="1" applyBorder="1" applyAlignment="1">
      <alignment horizontal="center" vertical="center"/>
    </xf>
    <xf numFmtId="0" fontId="20" fillId="2" borderId="0" xfId="0" applyFont="1" applyFill="1" applyAlignment="1">
      <alignment horizontal="center"/>
    </xf>
    <xf numFmtId="0" fontId="19" fillId="2" borderId="0" xfId="0" applyFont="1" applyFill="1"/>
    <xf numFmtId="0" fontId="38" fillId="0" borderId="0" xfId="0" applyFont="1"/>
    <xf numFmtId="0" fontId="20" fillId="2" borderId="0" xfId="0" applyFont="1" applyFill="1" applyAlignment="1">
      <alignment vertical="center" wrapText="1"/>
    </xf>
    <xf numFmtId="0" fontId="20" fillId="2" borderId="0" xfId="0" applyFont="1" applyFill="1"/>
    <xf numFmtId="0" fontId="37" fillId="22" borderId="8" xfId="0" applyFont="1" applyFill="1" applyBorder="1"/>
    <xf numFmtId="0" fontId="37" fillId="22" borderId="9" xfId="0" applyFont="1" applyFill="1" applyBorder="1"/>
    <xf numFmtId="0" fontId="37" fillId="0" borderId="0" xfId="0" applyFont="1"/>
    <xf numFmtId="0" fontId="18" fillId="24" borderId="0" xfId="0" applyFont="1" applyFill="1" applyAlignment="1">
      <alignment horizontal="center" vertical="center"/>
    </xf>
    <xf numFmtId="0" fontId="7" fillId="0" borderId="71" xfId="0" applyFont="1" applyBorder="1" applyAlignment="1">
      <alignment horizontal="center" vertical="center" wrapText="1"/>
    </xf>
    <xf numFmtId="0" fontId="7" fillId="0" borderId="54" xfId="0" applyFont="1" applyBorder="1" applyAlignment="1">
      <alignment horizontal="center" vertical="center" wrapText="1"/>
    </xf>
    <xf numFmtId="0" fontId="7" fillId="0" borderId="54" xfId="0" applyFont="1" applyBorder="1" applyAlignment="1">
      <alignment horizontal="center" vertical="top" wrapText="1"/>
    </xf>
    <xf numFmtId="0" fontId="39" fillId="0" borderId="54" xfId="0" applyFont="1" applyBorder="1" applyAlignment="1">
      <alignment vertical="center" wrapText="1"/>
    </xf>
    <xf numFmtId="0" fontId="19" fillId="0" borderId="31" xfId="0" applyFont="1" applyBorder="1"/>
    <xf numFmtId="0" fontId="19" fillId="0" borderId="32" xfId="0" applyFont="1" applyBorder="1"/>
    <xf numFmtId="0" fontId="7" fillId="4" borderId="2" xfId="0" applyFont="1" applyFill="1" applyBorder="1"/>
    <xf numFmtId="0" fontId="40" fillId="4" borderId="3" xfId="0" applyFont="1" applyFill="1" applyBorder="1" applyAlignment="1">
      <alignment vertical="center"/>
    </xf>
    <xf numFmtId="0" fontId="7" fillId="0" borderId="1" xfId="0" applyFont="1" applyBorder="1" applyAlignment="1">
      <alignment horizontal="center" vertical="center"/>
    </xf>
    <xf numFmtId="0" fontId="19" fillId="24" borderId="1" xfId="0" applyFont="1" applyFill="1" applyBorder="1" applyAlignment="1">
      <alignment horizontal="center" vertical="center"/>
    </xf>
    <xf numFmtId="10" fontId="19" fillId="0" borderId="1" xfId="0" applyNumberFormat="1" applyFont="1" applyBorder="1" applyAlignment="1">
      <alignment horizontal="center" vertical="center"/>
    </xf>
    <xf numFmtId="0" fontId="7" fillId="0" borderId="1" xfId="0" applyFont="1" applyBorder="1" applyAlignment="1">
      <alignment horizontal="center" vertical="center" wrapText="1"/>
    </xf>
    <xf numFmtId="0" fontId="7" fillId="0" borderId="2" xfId="0" applyFont="1" applyBorder="1" applyAlignment="1">
      <alignment horizontal="center" vertical="center"/>
    </xf>
    <xf numFmtId="0" fontId="19" fillId="24" borderId="3" xfId="0" applyFont="1" applyFill="1" applyBorder="1" applyAlignment="1">
      <alignment horizontal="center" vertical="center"/>
    </xf>
    <xf numFmtId="0" fontId="7" fillId="0" borderId="3" xfId="0" applyFont="1" applyBorder="1" applyAlignment="1">
      <alignment horizontal="left" vertical="top" wrapText="1"/>
    </xf>
    <xf numFmtId="9" fontId="19" fillId="0" borderId="3" xfId="0" applyNumberFormat="1" applyFont="1" applyBorder="1" applyAlignment="1">
      <alignment horizontal="center" vertical="center"/>
    </xf>
    <xf numFmtId="0" fontId="19" fillId="0" borderId="3" xfId="0" applyFont="1" applyBorder="1" applyAlignment="1">
      <alignment horizontal="center" vertical="center"/>
    </xf>
    <xf numFmtId="0" fontId="19" fillId="0" borderId="3" xfId="0" applyFont="1" applyBorder="1" applyAlignment="1">
      <alignment horizontal="center" vertical="center" wrapText="1"/>
    </xf>
    <xf numFmtId="0" fontId="19" fillId="0" borderId="3" xfId="0" applyFont="1" applyBorder="1" applyAlignment="1">
      <alignment wrapText="1"/>
    </xf>
    <xf numFmtId="0" fontId="40" fillId="2" borderId="4" xfId="0" applyFont="1" applyFill="1" applyBorder="1" applyAlignment="1">
      <alignment horizontal="center" vertical="center"/>
    </xf>
    <xf numFmtId="0" fontId="19" fillId="0" borderId="0" xfId="0" applyFont="1" applyAlignment="1">
      <alignment vertical="center"/>
    </xf>
    <xf numFmtId="0" fontId="19" fillId="0" borderId="0" xfId="0" applyFont="1" applyAlignment="1">
      <alignment horizontal="center" vertical="center"/>
    </xf>
    <xf numFmtId="0" fontId="19" fillId="0" borderId="0" xfId="0" applyFont="1" applyAlignment="1">
      <alignment horizontal="center" vertical="top" wrapText="1"/>
    </xf>
    <xf numFmtId="0" fontId="7" fillId="0" borderId="0" xfId="0" applyFont="1" applyAlignment="1">
      <alignment horizontal="left" vertical="top" wrapText="1"/>
    </xf>
    <xf numFmtId="9" fontId="19" fillId="0" borderId="0" xfId="0" applyNumberFormat="1" applyFont="1" applyAlignment="1">
      <alignment horizontal="center" vertical="center"/>
    </xf>
    <xf numFmtId="0" fontId="19" fillId="0" borderId="0" xfId="0" applyFont="1" applyAlignment="1">
      <alignment horizontal="center"/>
    </xf>
    <xf numFmtId="0" fontId="19" fillId="4" borderId="3" xfId="0" applyFont="1" applyFill="1" applyBorder="1"/>
    <xf numFmtId="0" fontId="19" fillId="4" borderId="4" xfId="0" applyFont="1" applyFill="1" applyBorder="1"/>
    <xf numFmtId="0" fontId="19" fillId="0" borderId="0" xfId="0" applyFont="1" applyAlignment="1">
      <alignment vertical="top" wrapText="1"/>
    </xf>
    <xf numFmtId="0" fontId="18" fillId="0" borderId="13" xfId="0" applyFont="1" applyBorder="1" applyAlignment="1">
      <alignment horizontal="center" vertical="center"/>
    </xf>
    <xf numFmtId="0" fontId="18" fillId="0" borderId="11" xfId="0" applyFont="1" applyBorder="1" applyAlignment="1">
      <alignment horizontal="center" vertical="center"/>
    </xf>
    <xf numFmtId="0" fontId="18" fillId="0" borderId="6" xfId="0" applyFont="1" applyBorder="1" applyAlignment="1">
      <alignment horizontal="center" vertical="center"/>
    </xf>
    <xf numFmtId="0" fontId="7" fillId="0" borderId="0" xfId="0" applyFont="1" applyAlignment="1">
      <alignment horizontal="center" vertical="center"/>
    </xf>
    <xf numFmtId="0" fontId="7" fillId="24" borderId="0" xfId="0" applyFont="1" applyFill="1" applyAlignment="1">
      <alignment horizontal="left" vertical="top"/>
    </xf>
    <xf numFmtId="0" fontId="41" fillId="2" borderId="0" xfId="0" applyFont="1" applyFill="1" applyAlignment="1">
      <alignment horizontal="center" vertical="center"/>
    </xf>
    <xf numFmtId="0" fontId="38" fillId="0" borderId="1" xfId="0" applyFont="1" applyBorder="1" applyAlignment="1">
      <alignment horizontal="center" vertical="center"/>
    </xf>
    <xf numFmtId="0" fontId="20" fillId="2" borderId="1" xfId="0" applyFont="1" applyFill="1" applyBorder="1" applyAlignment="1">
      <alignment horizontal="center" vertical="center"/>
    </xf>
    <xf numFmtId="0" fontId="20" fillId="0" borderId="1" xfId="0" applyFont="1" applyBorder="1" applyAlignment="1">
      <alignment horizontal="center" vertical="center"/>
    </xf>
    <xf numFmtId="0" fontId="38" fillId="0" borderId="0" xfId="0" applyFont="1" applyAlignment="1">
      <alignment horizontal="center"/>
    </xf>
    <xf numFmtId="0" fontId="18" fillId="0" borderId="92" xfId="0" applyFont="1" applyBorder="1" applyAlignment="1">
      <alignment horizontal="center" vertical="center"/>
    </xf>
    <xf numFmtId="0" fontId="18" fillId="0" borderId="35" xfId="0" applyFont="1" applyBorder="1" applyAlignment="1">
      <alignment horizontal="center" vertical="center"/>
    </xf>
    <xf numFmtId="0" fontId="40" fillId="4" borderId="12" xfId="0" applyFont="1" applyFill="1" applyBorder="1" applyAlignment="1">
      <alignment vertical="center"/>
    </xf>
    <xf numFmtId="0" fontId="40" fillId="4" borderId="9" xfId="0" applyFont="1" applyFill="1" applyBorder="1" applyAlignment="1">
      <alignment vertical="center"/>
    </xf>
    <xf numFmtId="0" fontId="18" fillId="0" borderId="6" xfId="0" applyFont="1" applyBorder="1" applyAlignment="1">
      <alignment horizontal="center"/>
    </xf>
    <xf numFmtId="0" fontId="19" fillId="0" borderId="3" xfId="0" applyFont="1" applyBorder="1"/>
    <xf numFmtId="0" fontId="19" fillId="2" borderId="3" xfId="0" applyFont="1" applyFill="1" applyBorder="1" applyAlignment="1">
      <alignment vertical="center"/>
    </xf>
    <xf numFmtId="0" fontId="19" fillId="2" borderId="3" xfId="0" applyFont="1" applyFill="1" applyBorder="1"/>
    <xf numFmtId="0" fontId="18" fillId="2" borderId="3" xfId="0" applyFont="1" applyFill="1" applyBorder="1" applyAlignment="1">
      <alignment horizontal="center" wrapText="1"/>
    </xf>
    <xf numFmtId="0" fontId="18" fillId="0" borderId="14" xfId="0" applyFont="1" applyBorder="1" applyAlignment="1">
      <alignment horizontal="center"/>
    </xf>
    <xf numFmtId="0" fontId="19" fillId="2" borderId="0" xfId="0" applyFont="1" applyFill="1" applyAlignment="1">
      <alignment horizontal="left" vertical="center"/>
    </xf>
    <xf numFmtId="0" fontId="18" fillId="19" borderId="6" xfId="0" applyFont="1" applyFill="1" applyBorder="1" applyAlignment="1">
      <alignment horizontal="center" textRotation="90"/>
    </xf>
    <xf numFmtId="0" fontId="19" fillId="4" borderId="12" xfId="0" applyFont="1" applyFill="1" applyBorder="1"/>
    <xf numFmtId="0" fontId="19" fillId="4" borderId="9" xfId="0" applyFont="1" applyFill="1" applyBorder="1"/>
    <xf numFmtId="0" fontId="19" fillId="0" borderId="0" xfId="0" applyFont="1" applyAlignment="1">
      <alignment horizontal="left" vertical="center"/>
    </xf>
    <xf numFmtId="0" fontId="42" fillId="4" borderId="2" xfId="0" applyFont="1" applyFill="1" applyBorder="1" applyAlignment="1">
      <alignment vertical="center" wrapText="1"/>
    </xf>
    <xf numFmtId="0" fontId="42" fillId="4" borderId="3" xfId="0" applyFont="1" applyFill="1" applyBorder="1" applyAlignment="1">
      <alignment vertical="center"/>
    </xf>
    <xf numFmtId="0" fontId="42" fillId="4" borderId="2" xfId="0" applyFont="1" applyFill="1" applyBorder="1" applyAlignment="1">
      <alignment vertical="center"/>
    </xf>
    <xf numFmtId="0" fontId="42" fillId="4" borderId="6" xfId="0" applyFont="1" applyFill="1" applyBorder="1" applyAlignment="1">
      <alignment horizontal="center" vertical="center"/>
    </xf>
    <xf numFmtId="0" fontId="42" fillId="4" borderId="1" xfId="0" applyFont="1" applyFill="1" applyBorder="1" applyAlignment="1">
      <alignment horizontal="center" vertical="center"/>
    </xf>
    <xf numFmtId="0" fontId="43" fillId="4" borderId="1" xfId="0" applyFont="1" applyFill="1" applyBorder="1" applyAlignment="1">
      <alignment horizontal="center"/>
    </xf>
    <xf numFmtId="0" fontId="18" fillId="10" borderId="1" xfId="0" applyFont="1" applyFill="1" applyBorder="1" applyAlignment="1">
      <alignment horizontal="center"/>
    </xf>
    <xf numFmtId="0" fontId="19" fillId="10" borderId="1" xfId="0" applyFont="1" applyFill="1" applyBorder="1" applyAlignment="1">
      <alignment horizontal="center" vertical="center"/>
    </xf>
    <xf numFmtId="0" fontId="18" fillId="10" borderId="1" xfId="0" applyFont="1" applyFill="1" applyBorder="1" applyAlignment="1">
      <alignment horizontal="center" vertical="center"/>
    </xf>
    <xf numFmtId="0" fontId="19" fillId="10" borderId="2" xfId="0" applyFont="1" applyFill="1" applyBorder="1" applyAlignment="1">
      <alignment horizontal="center" vertical="center"/>
    </xf>
    <xf numFmtId="0" fontId="18" fillId="10" borderId="1" xfId="0" applyFont="1" applyFill="1" applyBorder="1" applyAlignment="1">
      <alignment horizontal="left"/>
    </xf>
    <xf numFmtId="0" fontId="19" fillId="10" borderId="2" xfId="0" applyFont="1" applyFill="1" applyBorder="1" applyAlignment="1">
      <alignment vertical="center"/>
    </xf>
    <xf numFmtId="0" fontId="18" fillId="3" borderId="1" xfId="0" applyFont="1" applyFill="1" applyBorder="1" applyAlignment="1">
      <alignment horizontal="center" vertical="center"/>
    </xf>
    <xf numFmtId="0" fontId="18" fillId="3" borderId="1" xfId="0" applyFont="1" applyFill="1" applyBorder="1" applyAlignment="1">
      <alignment vertical="center"/>
    </xf>
    <xf numFmtId="0" fontId="19" fillId="0" borderId="1" xfId="0" applyFont="1" applyBorder="1"/>
    <xf numFmtId="0" fontId="18" fillId="11" borderId="1" xfId="0" applyFont="1" applyFill="1" applyBorder="1" applyAlignment="1">
      <alignment horizontal="center" vertical="center"/>
    </xf>
    <xf numFmtId="2" fontId="19" fillId="18" borderId="1" xfId="0" applyNumberFormat="1" applyFont="1" applyFill="1" applyBorder="1" applyAlignment="1">
      <alignment horizontal="center"/>
    </xf>
    <xf numFmtId="0" fontId="18" fillId="3" borderId="1" xfId="0" applyFont="1" applyFill="1" applyBorder="1" applyAlignment="1">
      <alignment horizontal="center"/>
    </xf>
    <xf numFmtId="0" fontId="19" fillId="11" borderId="1" xfId="0" applyFont="1" applyFill="1" applyBorder="1" applyAlignment="1">
      <alignment horizontal="center"/>
    </xf>
    <xf numFmtId="0" fontId="18" fillId="4" borderId="1" xfId="0" applyFont="1" applyFill="1" applyBorder="1" applyAlignment="1">
      <alignment horizontal="center" vertical="center"/>
    </xf>
    <xf numFmtId="0" fontId="37" fillId="0" borderId="1" xfId="0" applyFont="1" applyBorder="1" applyAlignment="1">
      <alignment horizontal="center" vertical="center" wrapText="1"/>
    </xf>
    <xf numFmtId="0" fontId="37" fillId="0" borderId="1" xfId="0" applyFont="1" applyBorder="1" applyAlignment="1">
      <alignment horizontal="center" vertical="center"/>
    </xf>
    <xf numFmtId="0" fontId="40" fillId="23" borderId="1" xfId="0" applyFont="1" applyFill="1" applyBorder="1" applyAlignment="1">
      <alignment horizontal="center" vertical="center" wrapText="1"/>
    </xf>
    <xf numFmtId="0" fontId="40" fillId="34" borderId="6" xfId="0" applyFont="1" applyFill="1" applyBorder="1" applyAlignment="1">
      <alignment horizontal="center" vertical="center" wrapText="1"/>
    </xf>
    <xf numFmtId="0" fontId="40" fillId="34" borderId="6" xfId="0" applyFont="1" applyFill="1" applyBorder="1" applyAlignment="1">
      <alignment horizontal="center" vertical="center"/>
    </xf>
    <xf numFmtId="0" fontId="40" fillId="34" borderId="7" xfId="0" applyFont="1" applyFill="1" applyBorder="1" applyAlignment="1">
      <alignment horizontal="center" vertical="center"/>
    </xf>
    <xf numFmtId="0" fontId="18" fillId="3" borderId="2" xfId="0" applyFont="1" applyFill="1" applyBorder="1" applyAlignment="1">
      <alignment horizontal="center"/>
    </xf>
    <xf numFmtId="0" fontId="37" fillId="3" borderId="49" xfId="0" applyFont="1" applyFill="1" applyBorder="1" applyAlignment="1">
      <alignment horizontal="center" vertical="center"/>
    </xf>
    <xf numFmtId="0" fontId="37" fillId="3" borderId="1" xfId="0" applyFont="1" applyFill="1" applyBorder="1" applyAlignment="1">
      <alignment horizontal="center" vertical="center"/>
    </xf>
    <xf numFmtId="0" fontId="37" fillId="3" borderId="2" xfId="0" applyFont="1" applyFill="1" applyBorder="1" applyAlignment="1">
      <alignment horizontal="center" vertical="center"/>
    </xf>
    <xf numFmtId="0" fontId="18" fillId="4" borderId="2" xfId="0" applyFont="1" applyFill="1" applyBorder="1"/>
    <xf numFmtId="0" fontId="18" fillId="5" borderId="2" xfId="0" applyFont="1" applyFill="1" applyBorder="1"/>
    <xf numFmtId="0" fontId="18" fillId="6" borderId="2" xfId="0" applyFont="1" applyFill="1" applyBorder="1"/>
    <xf numFmtId="0" fontId="18" fillId="2" borderId="0" xfId="0" applyFont="1" applyFill="1"/>
    <xf numFmtId="0" fontId="37" fillId="33" borderId="1" xfId="0" applyFont="1" applyFill="1" applyBorder="1" applyAlignment="1">
      <alignment horizontal="center" vertical="center"/>
    </xf>
    <xf numFmtId="0" fontId="37" fillId="0" borderId="49" xfId="0" applyFont="1" applyBorder="1" applyAlignment="1">
      <alignment horizontal="center" vertical="center"/>
    </xf>
    <xf numFmtId="0" fontId="37" fillId="0" borderId="0" xfId="0" applyFont="1" applyAlignment="1">
      <alignment horizontal="center" vertical="center"/>
    </xf>
    <xf numFmtId="0" fontId="38" fillId="2" borderId="0" xfId="0" applyFont="1" applyFill="1"/>
    <xf numFmtId="0" fontId="19" fillId="2" borderId="0" xfId="0" applyFont="1" applyFill="1" applyAlignment="1">
      <alignment horizontal="center"/>
    </xf>
    <xf numFmtId="0" fontId="40" fillId="23" borderId="49" xfId="0" applyFont="1" applyFill="1" applyBorder="1" applyAlignment="1">
      <alignment horizontal="center" vertical="center"/>
    </xf>
    <xf numFmtId="0" fontId="40" fillId="0" borderId="0" xfId="0" applyFont="1" applyAlignment="1">
      <alignment horizontal="center" vertical="center"/>
    </xf>
    <xf numFmtId="0" fontId="40" fillId="23" borderId="54" xfId="0" applyFont="1" applyFill="1" applyBorder="1" applyAlignment="1">
      <alignment horizontal="center" vertical="center" wrapText="1"/>
    </xf>
    <xf numFmtId="0" fontId="37" fillId="2" borderId="0" xfId="0" applyFont="1" applyFill="1" applyAlignment="1">
      <alignment horizontal="center" vertical="center" wrapText="1"/>
    </xf>
    <xf numFmtId="0" fontId="37" fillId="2" borderId="0" xfId="0" applyFont="1" applyFill="1" applyAlignment="1">
      <alignment horizontal="center" vertical="center"/>
    </xf>
    <xf numFmtId="0" fontId="19" fillId="36" borderId="0" xfId="0" applyFont="1" applyFill="1" applyAlignment="1">
      <alignment horizontal="center" vertical="center"/>
    </xf>
    <xf numFmtId="0" fontId="19" fillId="2" borderId="0" xfId="0" applyFont="1" applyFill="1" applyAlignment="1">
      <alignment horizontal="center" vertical="center"/>
    </xf>
    <xf numFmtId="0" fontId="7" fillId="2" borderId="0" xfId="0" applyFont="1" applyFill="1" applyAlignment="1">
      <alignment horizontal="center" vertical="center"/>
    </xf>
    <xf numFmtId="0" fontId="37" fillId="0" borderId="54" xfId="0" applyFont="1" applyBorder="1" applyAlignment="1">
      <alignment horizontal="center" vertical="center"/>
    </xf>
    <xf numFmtId="0" fontId="37" fillId="14" borderId="1" xfId="0" applyFont="1" applyFill="1" applyBorder="1" applyAlignment="1">
      <alignment horizontal="center" vertical="center" wrapText="1"/>
    </xf>
    <xf numFmtId="0" fontId="37" fillId="18" borderId="1" xfId="0" applyFont="1" applyFill="1" applyBorder="1" applyAlignment="1">
      <alignment horizontal="center" vertical="center" wrapText="1"/>
    </xf>
    <xf numFmtId="2" fontId="7" fillId="0" borderId="49" xfId="0" applyNumberFormat="1" applyFont="1" applyBorder="1" applyAlignment="1">
      <alignment horizontal="center" vertical="center"/>
    </xf>
    <xf numFmtId="0" fontId="7" fillId="0" borderId="54" xfId="0" applyFont="1" applyBorder="1" applyAlignment="1">
      <alignment horizontal="center" vertical="center"/>
    </xf>
    <xf numFmtId="2" fontId="7" fillId="0" borderId="1" xfId="0" applyNumberFormat="1" applyFont="1" applyBorder="1" applyAlignment="1">
      <alignment horizontal="center" vertical="center"/>
    </xf>
    <xf numFmtId="2" fontId="7" fillId="14" borderId="1" xfId="0" applyNumberFormat="1" applyFont="1" applyFill="1" applyBorder="1" applyAlignment="1">
      <alignment horizontal="center" vertical="center"/>
    </xf>
    <xf numFmtId="0" fontId="37" fillId="25" borderId="56" xfId="0" applyFont="1" applyFill="1" applyBorder="1" applyAlignment="1">
      <alignment horizontal="center" vertical="center" wrapText="1"/>
    </xf>
    <xf numFmtId="0" fontId="38" fillId="12" borderId="57" xfId="0" applyFont="1" applyFill="1" applyBorder="1"/>
    <xf numFmtId="0" fontId="38" fillId="12" borderId="58" xfId="0" applyFont="1" applyFill="1" applyBorder="1"/>
    <xf numFmtId="0" fontId="40" fillId="34" borderId="0" xfId="0" applyFont="1" applyFill="1" applyAlignment="1">
      <alignment horizontal="center" vertical="center" wrapText="1"/>
    </xf>
    <xf numFmtId="0" fontId="40" fillId="34" borderId="0" xfId="0" applyFont="1" applyFill="1" applyAlignment="1">
      <alignment horizontal="center" vertical="center"/>
    </xf>
    <xf numFmtId="2" fontId="7" fillId="0" borderId="0" xfId="0" applyNumberFormat="1" applyFont="1" applyAlignment="1">
      <alignment horizontal="center" vertical="center"/>
    </xf>
    <xf numFmtId="2" fontId="37" fillId="2" borderId="0" xfId="0" applyNumberFormat="1" applyFont="1" applyFill="1" applyAlignment="1">
      <alignment horizontal="center"/>
    </xf>
    <xf numFmtId="0" fontId="37" fillId="0" borderId="74" xfId="0" applyFont="1" applyBorder="1" applyAlignment="1">
      <alignment horizontal="center" vertical="center" wrapText="1"/>
    </xf>
    <xf numFmtId="2" fontId="37" fillId="0" borderId="0" xfId="0" applyNumberFormat="1" applyFont="1" applyAlignment="1">
      <alignment horizontal="center" vertical="center"/>
    </xf>
    <xf numFmtId="0" fontId="37" fillId="0" borderId="78" xfId="0" applyFont="1" applyBorder="1" applyAlignment="1">
      <alignment horizontal="center" vertical="center" wrapText="1"/>
    </xf>
    <xf numFmtId="0" fontId="7" fillId="0" borderId="80" xfId="0" applyFont="1" applyBorder="1" applyAlignment="1">
      <alignment horizontal="center"/>
    </xf>
    <xf numFmtId="0" fontId="7" fillId="0" borderId="62" xfId="0" applyFont="1" applyBorder="1" applyAlignment="1">
      <alignment horizontal="center"/>
    </xf>
    <xf numFmtId="0" fontId="7" fillId="0" borderId="81" xfId="0" applyFont="1" applyBorder="1" applyAlignment="1">
      <alignment horizontal="center"/>
    </xf>
    <xf numFmtId="0" fontId="7" fillId="0" borderId="73" xfId="0" applyFont="1" applyBorder="1" applyAlignment="1">
      <alignment horizontal="center"/>
    </xf>
    <xf numFmtId="0" fontId="7" fillId="0" borderId="82" xfId="0" applyFont="1" applyBorder="1" applyAlignment="1">
      <alignment horizontal="center"/>
    </xf>
    <xf numFmtId="0" fontId="40" fillId="24" borderId="1" xfId="0" applyFont="1" applyFill="1" applyBorder="1" applyAlignment="1">
      <alignment vertical="center" wrapText="1"/>
    </xf>
    <xf numFmtId="0" fontId="7" fillId="24" borderId="1" xfId="0" applyFont="1" applyFill="1" applyBorder="1" applyAlignment="1">
      <alignment horizontal="center" vertical="center"/>
    </xf>
    <xf numFmtId="0" fontId="37" fillId="0" borderId="83" xfId="0" applyFont="1" applyBorder="1" applyAlignment="1">
      <alignment horizontal="center" vertical="center"/>
    </xf>
    <xf numFmtId="0" fontId="40" fillId="23" borderId="49" xfId="0" applyFont="1" applyFill="1" applyBorder="1" applyAlignment="1">
      <alignment horizontal="center" vertical="center" wrapText="1"/>
    </xf>
    <xf numFmtId="0" fontId="40" fillId="4" borderId="84" xfId="0" applyFont="1" applyFill="1" applyBorder="1" applyAlignment="1">
      <alignment horizontal="center" vertical="center"/>
    </xf>
    <xf numFmtId="0" fontId="40" fillId="4" borderId="81" xfId="0" applyFont="1" applyFill="1" applyBorder="1" applyAlignment="1">
      <alignment horizontal="center" vertical="center"/>
    </xf>
    <xf numFmtId="0" fontId="40" fillId="4" borderId="65" xfId="0" applyFont="1" applyFill="1" applyBorder="1" applyAlignment="1">
      <alignment horizontal="center" vertical="center"/>
    </xf>
    <xf numFmtId="0" fontId="40" fillId="4" borderId="62" xfId="0" applyFont="1" applyFill="1" applyBorder="1" applyAlignment="1">
      <alignment horizontal="center" vertical="center"/>
    </xf>
    <xf numFmtId="0" fontId="40" fillId="23" borderId="77" xfId="0" applyFont="1" applyFill="1" applyBorder="1" applyAlignment="1">
      <alignment horizontal="center" vertical="center"/>
    </xf>
    <xf numFmtId="0" fontId="37" fillId="27" borderId="83" xfId="0" applyFont="1" applyFill="1" applyBorder="1" applyAlignment="1">
      <alignment horizontal="center" vertical="center"/>
    </xf>
    <xf numFmtId="0" fontId="40" fillId="27" borderId="80" xfId="0" applyFont="1" applyFill="1" applyBorder="1" applyAlignment="1">
      <alignment horizontal="center" vertical="center"/>
    </xf>
    <xf numFmtId="9" fontId="19" fillId="0" borderId="0" xfId="0" applyNumberFormat="1" applyFont="1"/>
    <xf numFmtId="0" fontId="40" fillId="0" borderId="80" xfId="0" applyFont="1" applyBorder="1" applyAlignment="1">
      <alignment horizontal="center" vertical="center"/>
    </xf>
    <xf numFmtId="0" fontId="37" fillId="23" borderId="85" xfId="0" applyFont="1" applyFill="1" applyBorder="1" applyAlignment="1">
      <alignment horizontal="center" vertical="center" wrapText="1"/>
    </xf>
    <xf numFmtId="0" fontId="7" fillId="24" borderId="79" xfId="0" applyFont="1" applyFill="1" applyBorder="1" applyAlignment="1">
      <alignment horizontal="center" vertical="center"/>
    </xf>
    <xf numFmtId="0" fontId="37" fillId="23" borderId="68" xfId="0" applyFont="1" applyFill="1" applyBorder="1" applyAlignment="1">
      <alignment horizontal="center" vertical="center" wrapText="1"/>
    </xf>
    <xf numFmtId="1" fontId="40" fillId="0" borderId="80" xfId="0" applyNumberFormat="1" applyFont="1" applyBorder="1" applyAlignment="1">
      <alignment horizontal="center" vertical="center"/>
    </xf>
    <xf numFmtId="1" fontId="40" fillId="0" borderId="1" xfId="0" applyNumberFormat="1" applyFont="1" applyBorder="1" applyAlignment="1">
      <alignment horizontal="center" vertical="center"/>
    </xf>
    <xf numFmtId="1" fontId="40" fillId="0" borderId="84" xfId="0" applyNumberFormat="1" applyFont="1" applyBorder="1" applyAlignment="1">
      <alignment horizontal="center" vertical="center"/>
    </xf>
    <xf numFmtId="1" fontId="40" fillId="0" borderId="81" xfId="0" applyNumberFormat="1" applyFont="1" applyBorder="1" applyAlignment="1">
      <alignment horizontal="center" vertical="center"/>
    </xf>
    <xf numFmtId="1" fontId="40" fillId="0" borderId="62" xfId="0" applyNumberFormat="1" applyFont="1" applyBorder="1" applyAlignment="1">
      <alignment horizontal="center" vertical="center"/>
    </xf>
    <xf numFmtId="1" fontId="40" fillId="0" borderId="82" xfId="0" applyNumberFormat="1" applyFont="1" applyBorder="1" applyAlignment="1">
      <alignment horizontal="center" vertical="center"/>
    </xf>
    <xf numFmtId="0" fontId="37" fillId="23" borderId="49" xfId="0" applyFont="1" applyFill="1" applyBorder="1" applyAlignment="1">
      <alignment horizontal="center" vertical="center" wrapText="1"/>
    </xf>
    <xf numFmtId="0" fontId="40" fillId="0" borderId="86" xfId="0" applyFont="1" applyBorder="1" applyAlignment="1">
      <alignment horizontal="center" vertical="center"/>
    </xf>
    <xf numFmtId="0" fontId="40" fillId="0" borderId="87" xfId="0" applyFont="1" applyBorder="1" applyAlignment="1">
      <alignment horizontal="center" vertical="center"/>
    </xf>
    <xf numFmtId="0" fontId="40" fillId="0" borderId="88" xfId="0" applyFont="1" applyBorder="1" applyAlignment="1">
      <alignment horizontal="center" vertical="center"/>
    </xf>
    <xf numFmtId="0" fontId="40" fillId="0" borderId="1" xfId="0" applyFont="1" applyBorder="1" applyAlignment="1">
      <alignment horizontal="center" vertical="center"/>
    </xf>
    <xf numFmtId="0" fontId="40" fillId="0" borderId="84" xfId="0" applyFont="1" applyBorder="1" applyAlignment="1">
      <alignment horizontal="center" vertical="center"/>
    </xf>
    <xf numFmtId="0" fontId="40" fillId="0" borderId="81" xfId="0" applyFont="1" applyBorder="1" applyAlignment="1">
      <alignment horizontal="center" vertical="center"/>
    </xf>
    <xf numFmtId="0" fontId="40" fillId="0" borderId="62" xfId="0" applyFont="1" applyBorder="1" applyAlignment="1">
      <alignment horizontal="center" vertical="center"/>
    </xf>
    <xf numFmtId="0" fontId="40" fillId="0" borderId="82" xfId="0" applyFont="1" applyBorder="1" applyAlignment="1">
      <alignment horizontal="center" vertical="center"/>
    </xf>
    <xf numFmtId="0" fontId="7" fillId="30" borderId="62" xfId="0" applyFont="1" applyFill="1" applyBorder="1"/>
    <xf numFmtId="0" fontId="7" fillId="30" borderId="62" xfId="0" applyFont="1" applyFill="1" applyBorder="1" applyAlignment="1">
      <alignment horizontal="center" vertical="center"/>
    </xf>
    <xf numFmtId="0" fontId="7" fillId="30" borderId="62" xfId="0" applyFont="1" applyFill="1" applyBorder="1" applyAlignment="1">
      <alignment horizontal="left"/>
    </xf>
    <xf numFmtId="0" fontId="37" fillId="30" borderId="62" xfId="0" applyFont="1" applyFill="1" applyBorder="1" applyAlignment="1">
      <alignment horizontal="center"/>
    </xf>
    <xf numFmtId="0" fontId="37" fillId="30" borderId="66" xfId="0" applyFont="1" applyFill="1" applyBorder="1" applyAlignment="1">
      <alignment horizontal="center"/>
    </xf>
    <xf numFmtId="0" fontId="40" fillId="30" borderId="66" xfId="0" applyFont="1" applyFill="1" applyBorder="1" applyAlignment="1">
      <alignment horizontal="center" vertical="center"/>
    </xf>
    <xf numFmtId="0" fontId="40" fillId="30" borderId="63" xfId="0" applyFont="1" applyFill="1" applyBorder="1" applyAlignment="1">
      <alignment horizontal="center" vertical="center"/>
    </xf>
    <xf numFmtId="0" fontId="19" fillId="0" borderId="54" xfId="0" applyFont="1" applyBorder="1" applyAlignment="1">
      <alignment horizontal="center"/>
    </xf>
    <xf numFmtId="0" fontId="37" fillId="0" borderId="0" xfId="0" applyFont="1" applyAlignment="1">
      <alignment horizontal="center" vertical="center" wrapText="1"/>
    </xf>
    <xf numFmtId="0" fontId="7" fillId="0" borderId="0" xfId="0" applyFont="1" applyAlignment="1">
      <alignment vertical="center" wrapText="1"/>
    </xf>
    <xf numFmtId="2" fontId="40" fillId="23" borderId="54" xfId="0" applyNumberFormat="1" applyFont="1" applyFill="1" applyBorder="1" applyAlignment="1">
      <alignment horizontal="center" vertical="center" wrapText="1"/>
    </xf>
    <xf numFmtId="0" fontId="37" fillId="37" borderId="0" xfId="0" applyFont="1" applyFill="1" applyAlignment="1">
      <alignment horizontal="center" wrapText="1"/>
    </xf>
    <xf numFmtId="0" fontId="37" fillId="37" borderId="0" xfId="0" applyFont="1" applyFill="1" applyAlignment="1">
      <alignment horizontal="center" vertical="center" wrapText="1"/>
    </xf>
    <xf numFmtId="0" fontId="37" fillId="39" borderId="0" xfId="0" applyFont="1" applyFill="1" applyAlignment="1">
      <alignment horizontal="center" vertical="center"/>
    </xf>
    <xf numFmtId="0" fontId="37" fillId="40" borderId="0" xfId="0" applyFont="1" applyFill="1" applyAlignment="1">
      <alignment horizontal="center" vertical="center"/>
    </xf>
    <xf numFmtId="0" fontId="37" fillId="41" borderId="0" xfId="0" applyFont="1" applyFill="1" applyAlignment="1">
      <alignment horizontal="center" vertical="center"/>
    </xf>
    <xf numFmtId="0" fontId="37" fillId="42" borderId="0" xfId="0" applyFont="1" applyFill="1" applyAlignment="1">
      <alignment horizontal="center" vertical="center"/>
    </xf>
    <xf numFmtId="0" fontId="38" fillId="2" borderId="0" xfId="0" applyFont="1" applyFill="1" applyAlignment="1">
      <alignment horizontal="center"/>
    </xf>
    <xf numFmtId="0" fontId="7" fillId="0" borderId="0" xfId="0" applyFont="1" applyAlignment="1">
      <alignment horizontal="left" vertical="center"/>
    </xf>
    <xf numFmtId="2" fontId="7" fillId="0" borderId="73" xfId="0" applyNumberFormat="1" applyFont="1" applyBorder="1" applyAlignment="1">
      <alignment horizontal="center" vertical="center"/>
    </xf>
    <xf numFmtId="0" fontId="44" fillId="37" borderId="100" xfId="0" applyFont="1" applyFill="1" applyBorder="1" applyAlignment="1">
      <alignment wrapText="1"/>
    </xf>
    <xf numFmtId="0" fontId="44" fillId="37" borderId="102" xfId="0" applyFont="1" applyFill="1" applyBorder="1" applyAlignment="1">
      <alignment wrapText="1"/>
    </xf>
    <xf numFmtId="0" fontId="44" fillId="0" borderId="1" xfId="0" applyFont="1" applyBorder="1"/>
    <xf numFmtId="0" fontId="44" fillId="37" borderId="104" xfId="0" applyFont="1" applyFill="1" applyBorder="1" applyAlignment="1">
      <alignment wrapText="1"/>
    </xf>
    <xf numFmtId="0" fontId="44" fillId="0" borderId="37" xfId="0" applyFont="1" applyBorder="1"/>
    <xf numFmtId="0" fontId="18" fillId="0" borderId="100" xfId="0" applyFont="1" applyBorder="1" applyAlignment="1">
      <alignment horizontal="center" vertical="center"/>
    </xf>
    <xf numFmtId="0" fontId="18" fillId="0" borderId="36" xfId="0" applyFont="1" applyBorder="1" applyAlignment="1">
      <alignment horizontal="center" vertical="center"/>
    </xf>
    <xf numFmtId="0" fontId="18" fillId="0" borderId="101" xfId="0" applyFont="1" applyBorder="1" applyAlignment="1">
      <alignment horizontal="center" vertical="center"/>
    </xf>
    <xf numFmtId="0" fontId="0" fillId="2" borderId="0" xfId="0" applyFill="1" applyAlignment="1">
      <alignment horizontal="left" vertical="top"/>
    </xf>
    <xf numFmtId="0" fontId="0" fillId="17" borderId="15" xfId="0" applyFill="1" applyBorder="1" applyAlignment="1">
      <alignment horizontal="left" vertical="top"/>
    </xf>
    <xf numFmtId="0" fontId="18" fillId="0" borderId="0" xfId="0" applyFont="1" applyAlignment="1">
      <alignment horizontal="center" vertical="center" wrapText="1"/>
    </xf>
    <xf numFmtId="1" fontId="19" fillId="0" borderId="0" xfId="0" applyNumberFormat="1" applyFont="1"/>
    <xf numFmtId="0" fontId="46" fillId="0" borderId="0" xfId="0" applyFont="1"/>
    <xf numFmtId="0" fontId="46" fillId="0" borderId="1" xfId="0" applyFont="1" applyBorder="1" applyAlignment="1">
      <alignment horizontal="center"/>
    </xf>
    <xf numFmtId="0" fontId="19" fillId="0" borderId="1" xfId="0" applyFont="1" applyBorder="1" applyAlignment="1">
      <alignment horizontal="left"/>
    </xf>
    <xf numFmtId="1" fontId="18" fillId="0" borderId="0" xfId="0" applyNumberFormat="1" applyFont="1"/>
    <xf numFmtId="1" fontId="19" fillId="0" borderId="0" xfId="0" applyNumberFormat="1" applyFont="1" applyAlignment="1">
      <alignment horizontal="center"/>
    </xf>
    <xf numFmtId="2" fontId="19" fillId="0" borderId="1" xfId="0" applyNumberFormat="1" applyFont="1" applyBorder="1" applyAlignment="1">
      <alignment horizontal="center"/>
    </xf>
    <xf numFmtId="1" fontId="19" fillId="0" borderId="1" xfId="0" applyNumberFormat="1" applyFont="1" applyBorder="1" applyAlignment="1">
      <alignment horizontal="center"/>
    </xf>
    <xf numFmtId="0" fontId="18" fillId="2" borderId="0" xfId="0" applyFont="1" applyFill="1" applyAlignment="1">
      <alignment horizontal="left"/>
    </xf>
    <xf numFmtId="0" fontId="48" fillId="0" borderId="0" xfId="0" applyFont="1" applyAlignment="1">
      <alignment horizontal="left" vertical="top" wrapText="1" indent="2"/>
    </xf>
    <xf numFmtId="0" fontId="48" fillId="0" borderId="0" xfId="0" applyFont="1" applyAlignment="1">
      <alignment horizontal="center" vertical="top" wrapText="1"/>
    </xf>
    <xf numFmtId="0" fontId="24" fillId="0" borderId="0" xfId="0" applyFont="1" applyAlignment="1">
      <alignment vertical="top" wrapText="1"/>
    </xf>
    <xf numFmtId="0" fontId="18" fillId="0" borderId="1" xfId="0" applyFont="1" applyBorder="1" applyAlignment="1">
      <alignment horizontal="center" vertical="center"/>
    </xf>
    <xf numFmtId="10" fontId="50" fillId="0" borderId="54" xfId="0" applyNumberFormat="1" applyFont="1" applyBorder="1" applyAlignment="1">
      <alignment horizontal="center" vertical="center"/>
    </xf>
    <xf numFmtId="0" fontId="50" fillId="0" borderId="54" xfId="0" applyFont="1" applyBorder="1" applyAlignment="1">
      <alignment horizontal="center" vertical="center"/>
    </xf>
    <xf numFmtId="0" fontId="50" fillId="0" borderId="54" xfId="0" applyFont="1" applyBorder="1" applyAlignment="1">
      <alignment horizontal="center" vertical="center" wrapText="1"/>
    </xf>
    <xf numFmtId="0" fontId="50" fillId="0" borderId="54" xfId="0" applyFont="1" applyBorder="1" applyAlignment="1">
      <alignment horizontal="center" wrapText="1"/>
    </xf>
    <xf numFmtId="0" fontId="50" fillId="0" borderId="54" xfId="0" applyFont="1" applyBorder="1" applyAlignment="1">
      <alignment horizontal="center"/>
    </xf>
    <xf numFmtId="0" fontId="19" fillId="0" borderId="2" xfId="0" applyFont="1" applyBorder="1" applyAlignment="1">
      <alignment horizontal="center"/>
    </xf>
    <xf numFmtId="0" fontId="28" fillId="0" borderId="1" xfId="0" applyFont="1" applyBorder="1" applyAlignment="1">
      <alignment horizontal="center" vertical="center" wrapText="1"/>
    </xf>
    <xf numFmtId="0" fontId="52" fillId="0" borderId="54" xfId="0" applyFont="1" applyBorder="1" applyAlignment="1">
      <alignment horizontal="center"/>
    </xf>
    <xf numFmtId="0" fontId="52" fillId="0" borderId="54" xfId="0" applyFont="1" applyBorder="1" applyAlignment="1">
      <alignment horizontal="center" vertical="center"/>
    </xf>
    <xf numFmtId="0" fontId="50" fillId="0" borderId="49" xfId="0" applyFont="1" applyBorder="1" applyAlignment="1">
      <alignment horizontal="center" vertical="center"/>
    </xf>
    <xf numFmtId="0" fontId="50" fillId="0" borderId="62" xfId="0" applyFont="1" applyBorder="1" applyAlignment="1">
      <alignment horizontal="center"/>
    </xf>
    <xf numFmtId="0" fontId="50" fillId="0" borderId="66" xfId="0" applyFont="1" applyBorder="1" applyAlignment="1">
      <alignment horizontal="center"/>
    </xf>
    <xf numFmtId="0" fontId="50" fillId="0" borderId="62" xfId="0" applyFont="1" applyBorder="1" applyAlignment="1">
      <alignment horizontal="center" vertical="center"/>
    </xf>
    <xf numFmtId="0" fontId="50" fillId="0" borderId="1" xfId="0" applyFont="1" applyBorder="1" applyAlignment="1">
      <alignment horizontal="center"/>
    </xf>
    <xf numFmtId="0" fontId="37" fillId="0" borderId="109" xfId="0" applyFont="1" applyBorder="1" applyAlignment="1">
      <alignment horizontal="center" vertical="center" wrapText="1"/>
    </xf>
    <xf numFmtId="0" fontId="37" fillId="9" borderId="110" xfId="0" applyFont="1" applyFill="1" applyBorder="1" applyAlignment="1">
      <alignment horizontal="center" vertical="center" wrapText="1"/>
    </xf>
    <xf numFmtId="0" fontId="40" fillId="23" borderId="96" xfId="0" applyFont="1" applyFill="1" applyBorder="1" applyAlignment="1">
      <alignment horizontal="center" vertical="center"/>
    </xf>
    <xf numFmtId="0" fontId="40" fillId="23" borderId="71" xfId="0" applyFont="1" applyFill="1" applyBorder="1" applyAlignment="1">
      <alignment horizontal="center" vertical="center"/>
    </xf>
    <xf numFmtId="0" fontId="40" fillId="23" borderId="68" xfId="0" applyFont="1" applyFill="1" applyBorder="1" applyAlignment="1">
      <alignment horizontal="center" vertical="center"/>
    </xf>
    <xf numFmtId="0" fontId="40" fillId="23" borderId="68" xfId="0" applyFont="1" applyFill="1" applyBorder="1" applyAlignment="1">
      <alignment horizontal="center" vertical="center" wrapText="1"/>
    </xf>
    <xf numFmtId="0" fontId="53" fillId="0" borderId="54" xfId="0" applyFont="1" applyBorder="1" applyAlignment="1">
      <alignment horizontal="center" vertical="center"/>
    </xf>
    <xf numFmtId="0" fontId="0" fillId="0" borderId="1" xfId="0" applyBorder="1" applyAlignment="1">
      <alignment horizontal="center"/>
    </xf>
    <xf numFmtId="0" fontId="50" fillId="0" borderId="5" xfId="0" applyFont="1" applyBorder="1" applyAlignment="1">
      <alignment horizontal="center"/>
    </xf>
    <xf numFmtId="0" fontId="7" fillId="0" borderId="0" xfId="0" applyFont="1" applyAlignment="1">
      <alignment horizontal="center" vertical="center" wrapText="1"/>
    </xf>
    <xf numFmtId="0" fontId="18" fillId="0" borderId="0" xfId="3" applyFont="1" applyAlignment="1">
      <alignment horizontal="center" wrapText="1"/>
    </xf>
    <xf numFmtId="0" fontId="45" fillId="24" borderId="0" xfId="3" applyFont="1" applyFill="1" applyAlignment="1">
      <alignment horizontal="center" wrapText="1"/>
    </xf>
    <xf numFmtId="0" fontId="7" fillId="0" borderId="0" xfId="0" applyFont="1" applyAlignment="1">
      <alignment horizontal="center" wrapText="1"/>
    </xf>
    <xf numFmtId="0" fontId="7" fillId="0" borderId="0" xfId="0" applyFont="1" applyAlignment="1">
      <alignment wrapText="1"/>
    </xf>
    <xf numFmtId="0" fontId="18" fillId="0" borderId="1" xfId="3" applyFont="1" applyBorder="1" applyAlignment="1">
      <alignment horizontal="center" wrapText="1"/>
    </xf>
    <xf numFmtId="0" fontId="54" fillId="31" borderId="63" xfId="0" applyFont="1" applyFill="1" applyBorder="1" applyAlignment="1">
      <alignment horizontal="center" vertical="center"/>
    </xf>
    <xf numFmtId="0" fontId="18" fillId="32" borderId="103" xfId="0" applyFont="1" applyFill="1" applyBorder="1" applyAlignment="1">
      <alignment horizontal="center"/>
    </xf>
    <xf numFmtId="0" fontId="19" fillId="32" borderId="4" xfId="0" applyFont="1" applyFill="1" applyBorder="1" applyAlignment="1">
      <alignment horizontal="center"/>
    </xf>
    <xf numFmtId="0" fontId="19" fillId="32" borderId="1" xfId="0" applyFont="1" applyFill="1" applyBorder="1" applyAlignment="1">
      <alignment horizontal="center"/>
    </xf>
    <xf numFmtId="0" fontId="45" fillId="24" borderId="1" xfId="3" applyFont="1" applyFill="1" applyBorder="1" applyAlignment="1">
      <alignment horizontal="center" vertical="center" wrapText="1"/>
    </xf>
    <xf numFmtId="0" fontId="45" fillId="24" borderId="1" xfId="3" applyFont="1" applyFill="1" applyBorder="1" applyAlignment="1">
      <alignment horizontal="center" wrapText="1"/>
    </xf>
    <xf numFmtId="0" fontId="18" fillId="0" borderId="1" xfId="3" applyFont="1" applyBorder="1" applyAlignment="1">
      <alignment horizontal="center" vertical="center" wrapText="1"/>
    </xf>
    <xf numFmtId="0" fontId="45" fillId="23" borderId="1" xfId="3" applyFont="1" applyFill="1" applyBorder="1" applyAlignment="1">
      <alignment horizontal="center" vertical="center" wrapText="1"/>
    </xf>
    <xf numFmtId="0" fontId="50" fillId="0" borderId="0" xfId="0" applyFont="1" applyAlignment="1">
      <alignment horizontal="center"/>
    </xf>
    <xf numFmtId="0" fontId="0" fillId="0" borderId="0" xfId="0" applyAlignment="1">
      <alignment horizontal="center"/>
    </xf>
    <xf numFmtId="0" fontId="0" fillId="0" borderId="5" xfId="0" applyBorder="1"/>
    <xf numFmtId="0" fontId="19" fillId="0" borderId="49" xfId="0" applyFont="1" applyBorder="1" applyAlignment="1">
      <alignment horizontal="center"/>
    </xf>
    <xf numFmtId="0" fontId="19" fillId="0" borderId="73" xfId="0" applyFont="1" applyBorder="1" applyAlignment="1">
      <alignment horizontal="center"/>
    </xf>
    <xf numFmtId="0" fontId="29" fillId="0" borderId="1" xfId="0" applyFont="1" applyBorder="1" applyAlignment="1">
      <alignment horizontal="center" wrapText="1"/>
    </xf>
    <xf numFmtId="0" fontId="52" fillId="0" borderId="1" xfId="0" applyFont="1" applyBorder="1" applyAlignment="1">
      <alignment horizontal="center"/>
    </xf>
    <xf numFmtId="0" fontId="50" fillId="0" borderId="1" xfId="0" applyFont="1" applyBorder="1" applyAlignment="1">
      <alignment horizontal="center" vertical="center"/>
    </xf>
    <xf numFmtId="0" fontId="52" fillId="0" borderId="1" xfId="0" applyFont="1" applyBorder="1" applyAlignment="1">
      <alignment horizontal="center" vertical="center"/>
    </xf>
    <xf numFmtId="0" fontId="0" fillId="0" borderId="7" xfId="0" applyBorder="1" applyAlignment="1">
      <alignment horizontal="center"/>
    </xf>
    <xf numFmtId="0" fontId="53" fillId="0" borderId="1" xfId="0" applyFont="1" applyBorder="1" applyAlignment="1">
      <alignment horizontal="center" vertical="center"/>
    </xf>
    <xf numFmtId="0" fontId="55" fillId="0" borderId="1" xfId="0" applyFont="1" applyBorder="1" applyAlignment="1">
      <alignment horizontal="center"/>
    </xf>
    <xf numFmtId="0" fontId="13" fillId="0" borderId="0" xfId="0" applyFont="1" applyAlignment="1">
      <alignment vertical="top" wrapText="1"/>
    </xf>
    <xf numFmtId="0" fontId="33" fillId="0" borderId="0" xfId="0" applyFont="1"/>
    <xf numFmtId="0" fontId="19" fillId="0" borderId="1" xfId="0" applyFont="1" applyBorder="1" applyAlignment="1">
      <alignment horizontal="center"/>
    </xf>
    <xf numFmtId="0" fontId="7" fillId="2" borderId="0" xfId="0" applyFont="1" applyFill="1" applyAlignment="1">
      <alignment horizontal="left" vertical="top"/>
    </xf>
    <xf numFmtId="0" fontId="18" fillId="2" borderId="0" xfId="0" applyFont="1" applyFill="1" applyAlignment="1">
      <alignment horizontal="center"/>
    </xf>
    <xf numFmtId="0" fontId="19" fillId="13" borderId="2" xfId="0" applyFont="1" applyFill="1" applyBorder="1" applyAlignment="1">
      <alignment horizontal="left" vertical="center" wrapText="1"/>
    </xf>
    <xf numFmtId="0" fontId="19" fillId="13" borderId="3" xfId="0" applyFont="1" applyFill="1" applyBorder="1" applyAlignment="1">
      <alignment horizontal="left" vertical="center" wrapText="1"/>
    </xf>
    <xf numFmtId="0" fontId="19" fillId="13" borderId="4" xfId="0" applyFont="1" applyFill="1" applyBorder="1" applyAlignment="1">
      <alignment horizontal="left" vertical="center" wrapText="1"/>
    </xf>
    <xf numFmtId="0" fontId="21" fillId="5" borderId="1" xfId="0" applyFont="1" applyFill="1" applyBorder="1" applyAlignment="1">
      <alignment horizontal="center"/>
    </xf>
    <xf numFmtId="0" fontId="16" fillId="5" borderId="1" xfId="0" applyFont="1" applyFill="1" applyBorder="1" applyAlignment="1">
      <alignment horizontal="center"/>
    </xf>
    <xf numFmtId="0" fontId="16" fillId="3" borderId="2" xfId="0" applyFont="1" applyFill="1" applyBorder="1" applyAlignment="1">
      <alignment horizontal="center"/>
    </xf>
    <xf numFmtId="0" fontId="16" fillId="3" borderId="4" xfId="0" applyFont="1" applyFill="1" applyBorder="1" applyAlignment="1">
      <alignment horizontal="center"/>
    </xf>
    <xf numFmtId="0" fontId="16" fillId="3" borderId="0" xfId="0" applyFont="1" applyFill="1" applyAlignment="1">
      <alignment horizontal="center"/>
    </xf>
    <xf numFmtId="0" fontId="16" fillId="3" borderId="5" xfId="0" applyFont="1" applyFill="1" applyBorder="1" applyAlignment="1">
      <alignment horizontal="center" vertical="center"/>
    </xf>
    <xf numFmtId="0" fontId="16" fillId="3" borderId="6" xfId="0" applyFont="1" applyFill="1" applyBorder="1" applyAlignment="1">
      <alignment horizontal="center" vertical="center"/>
    </xf>
    <xf numFmtId="0" fontId="1" fillId="2" borderId="7" xfId="0" applyFont="1" applyFill="1" applyBorder="1" applyAlignment="1">
      <alignment horizontal="center" vertical="center" wrapText="1"/>
    </xf>
    <xf numFmtId="0" fontId="7" fillId="0" borderId="26" xfId="0" applyFont="1" applyBorder="1" applyAlignment="1">
      <alignment horizontal="center" vertical="center"/>
    </xf>
    <xf numFmtId="0" fontId="1" fillId="2" borderId="0" xfId="0" applyFont="1" applyFill="1" applyAlignment="1">
      <alignment horizontal="center"/>
    </xf>
    <xf numFmtId="0" fontId="3" fillId="2" borderId="0" xfId="0" applyFont="1" applyFill="1" applyAlignment="1">
      <alignment horizontal="center" vertical="center" wrapText="1"/>
    </xf>
    <xf numFmtId="0" fontId="21" fillId="10" borderId="1" xfId="0" applyFont="1" applyFill="1" applyBorder="1" applyAlignment="1">
      <alignment horizontal="center" vertical="center"/>
    </xf>
    <xf numFmtId="0" fontId="16" fillId="10" borderId="1" xfId="0" applyFont="1" applyFill="1" applyBorder="1" applyAlignment="1">
      <alignment horizontal="center"/>
    </xf>
    <xf numFmtId="0" fontId="16" fillId="10" borderId="1" xfId="0" applyFont="1" applyFill="1" applyBorder="1" applyAlignment="1">
      <alignment horizontal="center" vertical="center"/>
    </xf>
    <xf numFmtId="0" fontId="21" fillId="10" borderId="2" xfId="0" applyFont="1" applyFill="1" applyBorder="1" applyAlignment="1">
      <alignment horizontal="center" vertical="center"/>
    </xf>
    <xf numFmtId="0" fontId="2" fillId="2" borderId="0" xfId="0" applyFont="1" applyFill="1" applyAlignment="1">
      <alignment horizontal="center"/>
    </xf>
    <xf numFmtId="0" fontId="16" fillId="3" borderId="1" xfId="0" applyFont="1" applyFill="1" applyBorder="1" applyAlignment="1">
      <alignment horizontal="center" vertical="center"/>
    </xf>
    <xf numFmtId="2" fontId="0" fillId="2" borderId="1" xfId="0" applyNumberFormat="1" applyFill="1" applyBorder="1" applyAlignment="1">
      <alignment horizontal="center"/>
    </xf>
    <xf numFmtId="0" fontId="16" fillId="3" borderId="3" xfId="0" applyFont="1" applyFill="1" applyBorder="1" applyAlignment="1">
      <alignment horizontal="center"/>
    </xf>
    <xf numFmtId="0" fontId="16" fillId="3" borderId="1" xfId="0" applyFont="1" applyFill="1" applyBorder="1" applyAlignment="1">
      <alignment horizontal="center"/>
    </xf>
    <xf numFmtId="0" fontId="18" fillId="2" borderId="3" xfId="0" applyFont="1" applyFill="1" applyBorder="1" applyAlignment="1">
      <alignment horizontal="center" vertical="center"/>
    </xf>
    <xf numFmtId="0" fontId="19" fillId="0" borderId="3" xfId="0" applyFont="1" applyBorder="1" applyAlignment="1">
      <alignment horizontal="center"/>
    </xf>
    <xf numFmtId="1" fontId="32" fillId="2" borderId="1" xfId="0" applyNumberFormat="1" applyFont="1" applyFill="1" applyBorder="1" applyAlignment="1">
      <alignment horizontal="center" vertical="center"/>
    </xf>
    <xf numFmtId="1" fontId="51" fillId="23" borderId="54" xfId="0" applyNumberFormat="1" applyFont="1" applyFill="1" applyBorder="1" applyAlignment="1">
      <alignment horizontal="center" vertical="center"/>
    </xf>
    <xf numFmtId="1" fontId="42" fillId="4" borderId="1" xfId="0" applyNumberFormat="1" applyFont="1" applyFill="1" applyBorder="1" applyAlignment="1">
      <alignment horizontal="center" vertical="center"/>
    </xf>
    <xf numFmtId="0" fontId="19" fillId="24" borderId="0" xfId="0" applyFont="1" applyFill="1" applyAlignment="1">
      <alignment horizontal="center" vertical="center"/>
    </xf>
    <xf numFmtId="10" fontId="19" fillId="0" borderId="0" xfId="0" applyNumberFormat="1" applyFont="1" applyAlignment="1">
      <alignment horizontal="center" vertical="center"/>
    </xf>
    <xf numFmtId="0" fontId="50" fillId="0" borderId="0" xfId="0" applyFont="1" applyAlignment="1">
      <alignment horizontal="center" vertical="center" wrapText="1"/>
    </xf>
    <xf numFmtId="0" fontId="50" fillId="0" borderId="0" xfId="0" applyFont="1" applyAlignment="1">
      <alignment wrapText="1"/>
    </xf>
    <xf numFmtId="0" fontId="51" fillId="34" borderId="0" xfId="0" applyFont="1" applyFill="1" applyAlignment="1">
      <alignment horizontal="center" vertical="center"/>
    </xf>
    <xf numFmtId="0" fontId="50" fillId="0" borderId="51" xfId="0" applyFont="1" applyBorder="1" applyAlignment="1">
      <alignment horizontal="center" vertical="center" wrapText="1"/>
    </xf>
    <xf numFmtId="0" fontId="32" fillId="2" borderId="0" xfId="0" applyFont="1" applyFill="1" applyAlignment="1">
      <alignment horizontal="center" vertical="center"/>
    </xf>
    <xf numFmtId="0" fontId="32" fillId="0" borderId="0" xfId="0" applyFont="1" applyAlignment="1">
      <alignment horizontal="center" vertical="center"/>
    </xf>
    <xf numFmtId="0" fontId="33" fillId="0" borderId="0" xfId="0" applyFont="1" applyAlignment="1">
      <alignment horizontal="center" vertical="center"/>
    </xf>
    <xf numFmtId="0" fontId="42" fillId="2" borderId="1" xfId="0" applyFont="1" applyFill="1" applyBorder="1" applyAlignment="1">
      <alignment horizontal="center" vertical="center"/>
    </xf>
    <xf numFmtId="0" fontId="49" fillId="43" borderId="1" xfId="0" applyFont="1" applyFill="1" applyBorder="1" applyAlignment="1">
      <alignment horizontal="center" vertical="center"/>
    </xf>
    <xf numFmtId="0" fontId="56" fillId="2" borderId="1" xfId="0" applyFont="1" applyFill="1" applyBorder="1" applyAlignment="1">
      <alignment horizontal="center"/>
    </xf>
    <xf numFmtId="1" fontId="42" fillId="2" borderId="1" xfId="0" applyNumberFormat="1" applyFont="1" applyFill="1" applyBorder="1" applyAlignment="1">
      <alignment horizontal="center" vertical="center"/>
    </xf>
    <xf numFmtId="1" fontId="20" fillId="2" borderId="1" xfId="0" applyNumberFormat="1" applyFont="1" applyFill="1" applyBorder="1" applyAlignment="1">
      <alignment horizontal="center" vertical="center"/>
    </xf>
    <xf numFmtId="1" fontId="18" fillId="0" borderId="35" xfId="0" applyNumberFormat="1" applyFont="1" applyBorder="1" applyAlignment="1">
      <alignment horizontal="center" vertical="center"/>
    </xf>
    <xf numFmtId="1" fontId="16" fillId="4" borderId="1" xfId="0" applyNumberFormat="1" applyFont="1" applyFill="1" applyBorder="1" applyAlignment="1">
      <alignment horizontal="center"/>
    </xf>
    <xf numFmtId="0" fontId="7" fillId="0" borderId="30" xfId="0" applyFont="1" applyBorder="1" applyAlignment="1">
      <alignment horizontal="center" vertical="center"/>
    </xf>
    <xf numFmtId="0" fontId="31" fillId="15" borderId="30" xfId="0" applyFont="1" applyFill="1" applyBorder="1" applyAlignment="1">
      <alignment horizontal="center" vertical="center" wrapText="1"/>
    </xf>
    <xf numFmtId="2" fontId="7" fillId="0" borderId="34" xfId="0" applyNumberFormat="1" applyFont="1" applyBorder="1" applyAlignment="1">
      <alignment horizontal="center" vertical="center"/>
    </xf>
    <xf numFmtId="2" fontId="7" fillId="0" borderId="32" xfId="0" applyNumberFormat="1" applyFont="1" applyBorder="1" applyAlignment="1">
      <alignment horizontal="center" vertical="center"/>
    </xf>
    <xf numFmtId="2" fontId="7" fillId="0" borderId="40" xfId="0" applyNumberFormat="1" applyFont="1" applyBorder="1" applyAlignment="1">
      <alignment horizontal="center" vertical="center"/>
    </xf>
    <xf numFmtId="1" fontId="20" fillId="0" borderId="1" xfId="0" applyNumberFormat="1" applyFont="1" applyBorder="1" applyAlignment="1">
      <alignment horizontal="center" vertical="center"/>
    </xf>
    <xf numFmtId="1" fontId="20" fillId="0" borderId="5" xfId="0" applyNumberFormat="1" applyFont="1" applyBorder="1" applyAlignment="1">
      <alignment horizontal="center" vertical="center"/>
    </xf>
    <xf numFmtId="1" fontId="18" fillId="4" borderId="1" xfId="0" applyNumberFormat="1" applyFont="1" applyFill="1" applyBorder="1" applyAlignment="1">
      <alignment horizontal="center"/>
    </xf>
    <xf numFmtId="2" fontId="19" fillId="0" borderId="1" xfId="0" applyNumberFormat="1" applyFont="1" applyBorder="1"/>
    <xf numFmtId="2" fontId="19" fillId="0" borderId="1" xfId="0" applyNumberFormat="1" applyFont="1" applyBorder="1" applyAlignment="1">
      <alignment horizontal="center" vertical="center"/>
    </xf>
    <xf numFmtId="1" fontId="40" fillId="23" borderId="1" xfId="0" applyNumberFormat="1" applyFont="1" applyFill="1" applyBorder="1" applyAlignment="1">
      <alignment horizontal="center" vertical="center"/>
    </xf>
    <xf numFmtId="1" fontId="40" fillId="34" borderId="2" xfId="0" applyNumberFormat="1" applyFont="1" applyFill="1" applyBorder="1" applyAlignment="1">
      <alignment horizontal="center" vertical="center"/>
    </xf>
    <xf numFmtId="1" fontId="40" fillId="23" borderId="62" xfId="0" applyNumberFormat="1" applyFont="1" applyFill="1" applyBorder="1" applyAlignment="1">
      <alignment horizontal="center" vertical="center"/>
    </xf>
    <xf numFmtId="0" fontId="44" fillId="0" borderId="36" xfId="0" applyFont="1" applyBorder="1" applyAlignment="1">
      <alignment wrapText="1"/>
    </xf>
    <xf numFmtId="2" fontId="18" fillId="2" borderId="4" xfId="0" applyNumberFormat="1" applyFont="1" applyFill="1" applyBorder="1"/>
    <xf numFmtId="0" fontId="42" fillId="4" borderId="2" xfId="0" applyFont="1" applyFill="1" applyBorder="1"/>
    <xf numFmtId="0" fontId="57" fillId="4" borderId="3" xfId="0" applyFont="1" applyFill="1" applyBorder="1"/>
    <xf numFmtId="2" fontId="40" fillId="23" borderId="1" xfId="0" applyNumberFormat="1" applyFont="1" applyFill="1" applyBorder="1" applyAlignment="1">
      <alignment horizontal="center" vertical="center"/>
    </xf>
    <xf numFmtId="0" fontId="18" fillId="0" borderId="1" xfId="0" applyFont="1" applyBorder="1"/>
    <xf numFmtId="0" fontId="0" fillId="0" borderId="54" xfId="0" applyBorder="1" applyAlignment="1">
      <alignment horizontal="center" vertical="center"/>
    </xf>
    <xf numFmtId="0" fontId="0" fillId="0" borderId="71" xfId="0" applyBorder="1" applyAlignment="1">
      <alignment horizontal="center" vertical="center"/>
    </xf>
    <xf numFmtId="0" fontId="0" fillId="0" borderId="66" xfId="0" applyBorder="1" applyAlignment="1">
      <alignment horizontal="center" vertical="center"/>
    </xf>
    <xf numFmtId="0" fontId="0" fillId="0" borderId="62" xfId="0" applyBorder="1" applyAlignment="1">
      <alignment horizontal="center" vertical="center"/>
    </xf>
    <xf numFmtId="0" fontId="0" fillId="0" borderId="1" xfId="0" applyBorder="1" applyAlignment="1">
      <alignment horizontal="center" vertical="center"/>
    </xf>
    <xf numFmtId="0" fontId="0" fillId="0" borderId="5" xfId="0" applyBorder="1" applyAlignment="1">
      <alignment horizontal="center" vertical="center"/>
    </xf>
    <xf numFmtId="0" fontId="0" fillId="0" borderId="5" xfId="0" applyBorder="1" applyAlignment="1">
      <alignment horizontal="center"/>
    </xf>
    <xf numFmtId="0" fontId="52" fillId="0" borderId="49" xfId="0" applyFont="1" applyBorder="1" applyAlignment="1">
      <alignment horizontal="center" vertical="center"/>
    </xf>
    <xf numFmtId="0" fontId="0" fillId="0" borderId="49" xfId="0" applyBorder="1" applyAlignment="1">
      <alignment horizontal="center" vertical="center"/>
    </xf>
    <xf numFmtId="0" fontId="0" fillId="0" borderId="2" xfId="0" applyBorder="1" applyAlignment="1">
      <alignment horizontal="center" vertical="center"/>
    </xf>
    <xf numFmtId="0" fontId="0" fillId="0" borderId="7" xfId="0" applyBorder="1" applyAlignment="1">
      <alignment horizontal="center" vertical="center"/>
    </xf>
    <xf numFmtId="0" fontId="0" fillId="0" borderId="0" xfId="0" applyAlignment="1">
      <alignment horizontal="center" vertical="center"/>
    </xf>
    <xf numFmtId="0" fontId="0" fillId="0" borderId="8" xfId="0" applyBorder="1" applyAlignment="1">
      <alignment horizontal="center" vertical="center"/>
    </xf>
    <xf numFmtId="0" fontId="52" fillId="2" borderId="1" xfId="0" applyFont="1" applyFill="1" applyBorder="1" applyAlignment="1">
      <alignment horizontal="center"/>
    </xf>
    <xf numFmtId="0" fontId="45" fillId="34" borderId="0" xfId="3" applyFont="1" applyFill="1" applyAlignment="1">
      <alignment horizontal="center" wrapText="1"/>
    </xf>
    <xf numFmtId="0" fontId="22" fillId="24" borderId="1" xfId="0" applyFont="1" applyFill="1" applyBorder="1" applyAlignment="1">
      <alignment horizontal="left" vertical="top"/>
    </xf>
    <xf numFmtId="2" fontId="7" fillId="0" borderId="55" xfId="0" applyNumberFormat="1" applyFont="1" applyBorder="1" applyAlignment="1">
      <alignment horizontal="center" vertical="center"/>
    </xf>
    <xf numFmtId="2" fontId="7" fillId="0" borderId="54" xfId="0" applyNumberFormat="1" applyFont="1" applyBorder="1" applyAlignment="1">
      <alignment horizontal="center" vertical="center"/>
    </xf>
    <xf numFmtId="1" fontId="18" fillId="11" borderId="1" xfId="0" applyNumberFormat="1" applyFont="1" applyFill="1" applyBorder="1" applyAlignment="1">
      <alignment horizontal="center"/>
    </xf>
    <xf numFmtId="0" fontId="0" fillId="0" borderId="4" xfId="0" applyBorder="1" applyAlignment="1">
      <alignment horizontal="center" vertical="center"/>
    </xf>
    <xf numFmtId="0" fontId="0" fillId="0" borderId="4" xfId="0" applyBorder="1" applyAlignment="1">
      <alignment horizontal="center"/>
    </xf>
    <xf numFmtId="0" fontId="1" fillId="0" borderId="0" xfId="0" applyFont="1" applyAlignment="1">
      <alignment horizontal="center" vertical="center"/>
    </xf>
    <xf numFmtId="0" fontId="16" fillId="2" borderId="0" xfId="0" applyFont="1" applyFill="1" applyAlignment="1">
      <alignment horizontal="center"/>
    </xf>
    <xf numFmtId="0" fontId="50" fillId="2" borderId="49" xfId="0" applyFont="1" applyFill="1" applyBorder="1" applyAlignment="1">
      <alignment horizontal="center" vertical="center"/>
    </xf>
    <xf numFmtId="0" fontId="0" fillId="0" borderId="51" xfId="0" applyBorder="1" applyAlignment="1">
      <alignment horizontal="center" vertical="center"/>
    </xf>
    <xf numFmtId="0" fontId="0" fillId="0" borderId="70" xfId="0" applyBorder="1" applyAlignment="1">
      <alignment horizontal="center" vertical="center"/>
    </xf>
    <xf numFmtId="0" fontId="0" fillId="0" borderId="65" xfId="0" applyBorder="1" applyAlignment="1">
      <alignment horizontal="center" vertical="center"/>
    </xf>
    <xf numFmtId="0" fontId="50" fillId="0" borderId="4" xfId="0" applyFont="1" applyBorder="1" applyAlignment="1">
      <alignment horizontal="center"/>
    </xf>
    <xf numFmtId="0" fontId="0" fillId="0" borderId="45" xfId="0" applyBorder="1" applyAlignment="1">
      <alignment horizontal="center"/>
    </xf>
    <xf numFmtId="0" fontId="0" fillId="0" borderId="9" xfId="0" applyBorder="1" applyAlignment="1">
      <alignment horizontal="center" vertical="center"/>
    </xf>
    <xf numFmtId="0" fontId="0" fillId="0" borderId="1" xfId="0" applyBorder="1" applyAlignment="1">
      <alignment horizontal="left" vertical="center"/>
    </xf>
    <xf numFmtId="0" fontId="50" fillId="0" borderId="1" xfId="0" applyFont="1" applyBorder="1"/>
    <xf numFmtId="0" fontId="18" fillId="0" borderId="0" xfId="0" applyFont="1" applyAlignment="1">
      <alignment wrapText="1"/>
    </xf>
    <xf numFmtId="0" fontId="18" fillId="0" borderId="14" xfId="0" applyFont="1" applyBorder="1"/>
    <xf numFmtId="0" fontId="0" fillId="0" borderId="0" xfId="0" applyAlignment="1">
      <alignment wrapText="1"/>
    </xf>
    <xf numFmtId="0" fontId="5" fillId="0" borderId="0" xfId="0" applyFont="1" applyAlignment="1">
      <alignment wrapText="1"/>
    </xf>
    <xf numFmtId="0" fontId="0" fillId="0" borderId="0" xfId="0" applyAlignment="1">
      <alignment vertical="center"/>
    </xf>
    <xf numFmtId="0" fontId="58" fillId="0" borderId="0" xfId="0" applyFont="1" applyAlignment="1">
      <alignment vertical="center"/>
    </xf>
    <xf numFmtId="0" fontId="41" fillId="2" borderId="0" xfId="0" applyFont="1" applyFill="1"/>
    <xf numFmtId="0" fontId="37" fillId="39" borderId="0" xfId="0" applyFont="1" applyFill="1" applyAlignment="1">
      <alignment vertical="center" wrapText="1"/>
    </xf>
    <xf numFmtId="0" fontId="37" fillId="29" borderId="6" xfId="0" applyFont="1" applyFill="1" applyBorder="1" applyAlignment="1">
      <alignment horizontal="center" vertical="center"/>
    </xf>
    <xf numFmtId="0" fontId="37" fillId="38" borderId="0" xfId="0" applyFont="1" applyFill="1"/>
    <xf numFmtId="0" fontId="59" fillId="0" borderId="2" xfId="0" applyFont="1" applyBorder="1" applyAlignment="1">
      <alignment horizontal="center" vertical="center"/>
    </xf>
    <xf numFmtId="0" fontId="59" fillId="0" borderId="3" xfId="0" applyFont="1" applyBorder="1" applyAlignment="1">
      <alignment horizontal="center" vertical="center"/>
    </xf>
    <xf numFmtId="0" fontId="59" fillId="0" borderId="4" xfId="0" applyFont="1" applyBorder="1" applyAlignment="1">
      <alignment horizontal="center" vertical="center"/>
    </xf>
    <xf numFmtId="0" fontId="58" fillId="0" borderId="1" xfId="0" applyFont="1" applyBorder="1" applyAlignment="1">
      <alignment horizontal="center" vertical="center"/>
    </xf>
    <xf numFmtId="0" fontId="59" fillId="0" borderId="1"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35" fillId="0" borderId="106" xfId="0" applyFont="1" applyBorder="1" applyAlignment="1">
      <alignment vertical="top" wrapText="1"/>
    </xf>
    <xf numFmtId="0" fontId="36" fillId="0" borderId="107" xfId="0" applyFont="1" applyBorder="1"/>
    <xf numFmtId="0" fontId="36" fillId="0" borderId="108" xfId="0" applyFont="1" applyBorder="1"/>
    <xf numFmtId="0" fontId="18" fillId="0" borderId="0" xfId="0" applyFont="1" applyAlignment="1">
      <alignment horizontal="left"/>
    </xf>
    <xf numFmtId="0" fontId="5" fillId="0" borderId="2" xfId="0" applyFont="1" applyBorder="1" applyAlignment="1">
      <alignment horizontal="left"/>
    </xf>
    <xf numFmtId="0" fontId="5" fillId="0" borderId="3" xfId="0" applyFont="1" applyBorder="1" applyAlignment="1">
      <alignment horizontal="left"/>
    </xf>
    <xf numFmtId="0" fontId="5" fillId="0" borderId="4" xfId="0" applyFont="1" applyBorder="1" applyAlignment="1">
      <alignment horizontal="left"/>
    </xf>
    <xf numFmtId="0" fontId="5" fillId="0" borderId="8" xfId="0" applyFont="1" applyBorder="1" applyAlignment="1">
      <alignment horizontal="left" wrapText="1"/>
    </xf>
    <xf numFmtId="0" fontId="5" fillId="0" borderId="12" xfId="0" applyFont="1" applyBorder="1" applyAlignment="1">
      <alignment horizontal="left" wrapText="1"/>
    </xf>
    <xf numFmtId="0" fontId="5" fillId="0" borderId="9" xfId="0" applyFont="1" applyBorder="1" applyAlignment="1">
      <alignment horizontal="left" wrapText="1"/>
    </xf>
    <xf numFmtId="0" fontId="5" fillId="0" borderId="10" xfId="0" applyFont="1" applyBorder="1" applyAlignment="1">
      <alignment horizontal="left" wrapText="1"/>
    </xf>
    <xf numFmtId="0" fontId="5" fillId="0" borderId="13" xfId="0" applyFont="1" applyBorder="1" applyAlignment="1">
      <alignment horizontal="left" wrapText="1"/>
    </xf>
    <xf numFmtId="0" fontId="5" fillId="0" borderId="11" xfId="0" applyFont="1" applyBorder="1" applyAlignment="1">
      <alignment horizontal="left" wrapText="1"/>
    </xf>
    <xf numFmtId="0" fontId="18" fillId="0" borderId="10" xfId="0" applyFont="1" applyBorder="1" applyAlignment="1">
      <alignment horizontal="left"/>
    </xf>
    <xf numFmtId="0" fontId="18" fillId="0" borderId="13" xfId="0" applyFont="1" applyBorder="1" applyAlignment="1">
      <alignment horizontal="left"/>
    </xf>
    <xf numFmtId="0" fontId="18" fillId="0" borderId="11" xfId="0" applyFont="1" applyBorder="1" applyAlignment="1">
      <alignment horizontal="left"/>
    </xf>
    <xf numFmtId="0" fontId="18" fillId="0" borderId="0" xfId="0" applyFont="1" applyAlignment="1">
      <alignment horizontal="center"/>
    </xf>
    <xf numFmtId="0" fontId="18" fillId="0" borderId="8" xfId="0" applyFont="1" applyBorder="1" applyAlignment="1">
      <alignment horizontal="center"/>
    </xf>
    <xf numFmtId="0" fontId="18" fillId="0" borderId="12" xfId="0" applyFont="1" applyBorder="1" applyAlignment="1">
      <alignment horizontal="center"/>
    </xf>
    <xf numFmtId="0" fontId="18" fillId="0" borderId="9" xfId="0" applyFont="1" applyBorder="1" applyAlignment="1">
      <alignment horizontal="center"/>
    </xf>
    <xf numFmtId="0" fontId="18" fillId="0" borderId="45" xfId="0" applyFont="1" applyBorder="1" applyAlignment="1">
      <alignment horizontal="center"/>
    </xf>
    <xf numFmtId="0" fontId="2" fillId="0" borderId="8" xfId="0" applyFont="1" applyBorder="1" applyAlignment="1">
      <alignment horizontal="left" wrapText="1"/>
    </xf>
    <xf numFmtId="0" fontId="2" fillId="0" borderId="12" xfId="0" applyFont="1" applyBorder="1" applyAlignment="1">
      <alignment horizontal="left" wrapText="1"/>
    </xf>
    <xf numFmtId="0" fontId="2" fillId="0" borderId="9" xfId="0" applyFont="1" applyBorder="1" applyAlignment="1">
      <alignment horizontal="left" wrapText="1"/>
    </xf>
    <xf numFmtId="0" fontId="2" fillId="0" borderId="14" xfId="0" applyFont="1" applyBorder="1" applyAlignment="1">
      <alignment horizontal="left" wrapText="1"/>
    </xf>
    <xf numFmtId="0" fontId="2" fillId="0" borderId="0" xfId="0" applyFont="1" applyAlignment="1">
      <alignment horizontal="left" wrapText="1"/>
    </xf>
    <xf numFmtId="0" fontId="2" fillId="0" borderId="45" xfId="0" applyFont="1" applyBorder="1" applyAlignment="1">
      <alignment horizontal="left" wrapText="1"/>
    </xf>
    <xf numFmtId="0" fontId="2" fillId="0" borderId="10" xfId="0" applyFont="1" applyBorder="1" applyAlignment="1">
      <alignment horizontal="left" wrapText="1"/>
    </xf>
    <xf numFmtId="0" fontId="2" fillId="0" borderId="13" xfId="0" applyFont="1" applyBorder="1" applyAlignment="1">
      <alignment horizontal="left" wrapText="1"/>
    </xf>
    <xf numFmtId="0" fontId="2" fillId="0" borderId="11" xfId="0" applyFont="1" applyBorder="1" applyAlignment="1">
      <alignment horizontal="left" wrapText="1"/>
    </xf>
    <xf numFmtId="0" fontId="35" fillId="0" borderId="49" xfId="0" applyFont="1" applyBorder="1" applyAlignment="1">
      <alignment vertical="top" wrapText="1"/>
    </xf>
    <xf numFmtId="0" fontId="36" fillId="0" borderId="50" xfId="0" applyFont="1" applyBorder="1"/>
    <xf numFmtId="0" fontId="36" fillId="0" borderId="51" xfId="0" applyFont="1" applyBorder="1"/>
    <xf numFmtId="0" fontId="7" fillId="0" borderId="49" xfId="0" applyFont="1" applyBorder="1" applyAlignment="1">
      <alignment vertical="top" wrapText="1"/>
    </xf>
    <xf numFmtId="0" fontId="7" fillId="0" borderId="50" xfId="0" applyFont="1" applyBorder="1" applyAlignment="1">
      <alignment vertical="top" wrapText="1"/>
    </xf>
    <xf numFmtId="0" fontId="7" fillId="0" borderId="51" xfId="0" applyFont="1" applyBorder="1" applyAlignment="1">
      <alignment vertical="top" wrapText="1"/>
    </xf>
    <xf numFmtId="0" fontId="38" fillId="0" borderId="50" xfId="0" applyFont="1" applyBorder="1" applyAlignment="1">
      <alignment vertical="top"/>
    </xf>
    <xf numFmtId="0" fontId="38" fillId="0" borderId="51" xfId="0" applyFont="1" applyBorder="1" applyAlignment="1">
      <alignment vertical="top"/>
    </xf>
    <xf numFmtId="0" fontId="13" fillId="0" borderId="0" xfId="0" applyFont="1" applyAlignment="1">
      <alignment vertical="top" wrapText="1"/>
    </xf>
    <xf numFmtId="0" fontId="33" fillId="0" borderId="0" xfId="0" applyFont="1"/>
    <xf numFmtId="0" fontId="37" fillId="0" borderId="2" xfId="0" applyFont="1" applyBorder="1" applyAlignment="1">
      <alignment horizontal="left"/>
    </xf>
    <xf numFmtId="0" fontId="37" fillId="0" borderId="4" xfId="0" applyFont="1" applyBorder="1" applyAlignment="1">
      <alignment horizontal="left"/>
    </xf>
    <xf numFmtId="0" fontId="37" fillId="0" borderId="10" xfId="0" applyFont="1" applyBorder="1" applyAlignment="1">
      <alignment horizontal="center"/>
    </xf>
    <xf numFmtId="0" fontId="37" fillId="0" borderId="11" xfId="0" applyFont="1" applyBorder="1" applyAlignment="1">
      <alignment horizontal="center"/>
    </xf>
    <xf numFmtId="0" fontId="37" fillId="0" borderId="1" xfId="0" applyFont="1" applyBorder="1" applyAlignment="1">
      <alignment horizontal="left"/>
    </xf>
    <xf numFmtId="0" fontId="20" fillId="2" borderId="33" xfId="0" applyFont="1" applyFill="1" applyBorder="1" applyAlignment="1">
      <alignment horizontal="center"/>
    </xf>
    <xf numFmtId="0" fontId="20" fillId="2" borderId="34" xfId="0" applyFont="1" applyFill="1" applyBorder="1" applyAlignment="1">
      <alignment horizontal="center"/>
    </xf>
    <xf numFmtId="0" fontId="20" fillId="2" borderId="29" xfId="0" applyFont="1" applyFill="1" applyBorder="1" applyAlignment="1">
      <alignment horizontal="center" vertical="center" wrapText="1"/>
    </xf>
    <xf numFmtId="0" fontId="20" fillId="2" borderId="30" xfId="0" applyFont="1" applyFill="1" applyBorder="1" applyAlignment="1">
      <alignment horizontal="center" vertical="center" wrapText="1"/>
    </xf>
    <xf numFmtId="0" fontId="19" fillId="2" borderId="31" xfId="0" applyFont="1" applyFill="1" applyBorder="1" applyAlignment="1">
      <alignment horizontal="center" vertical="center"/>
    </xf>
    <xf numFmtId="0" fontId="19" fillId="2" borderId="32" xfId="0" applyFont="1" applyFill="1" applyBorder="1" applyAlignment="1">
      <alignment horizontal="center" vertical="center"/>
    </xf>
    <xf numFmtId="0" fontId="18" fillId="0" borderId="29" xfId="0" applyFont="1" applyBorder="1" applyAlignment="1">
      <alignment horizontal="center" vertical="center"/>
    </xf>
    <xf numFmtId="0" fontId="18" fillId="0" borderId="30" xfId="0" applyFont="1" applyBorder="1" applyAlignment="1">
      <alignment horizontal="center" vertical="center"/>
    </xf>
    <xf numFmtId="0" fontId="18" fillId="0" borderId="31" xfId="0" applyFont="1" applyBorder="1" applyAlignment="1">
      <alignment horizontal="center" vertical="center"/>
    </xf>
    <xf numFmtId="0" fontId="18" fillId="0" borderId="32" xfId="0" applyFont="1" applyBorder="1" applyAlignment="1">
      <alignment horizontal="center" vertical="center"/>
    </xf>
    <xf numFmtId="0" fontId="18" fillId="0" borderId="33" xfId="0" applyFont="1" applyBorder="1" applyAlignment="1">
      <alignment horizontal="center" vertical="center"/>
    </xf>
    <xf numFmtId="0" fontId="18" fillId="0" borderId="34" xfId="0" applyFont="1" applyBorder="1" applyAlignment="1">
      <alignment horizontal="center" vertical="center"/>
    </xf>
    <xf numFmtId="0" fontId="18" fillId="2" borderId="29" xfId="0" applyFont="1" applyFill="1" applyBorder="1" applyAlignment="1">
      <alignment horizontal="center" vertical="center"/>
    </xf>
    <xf numFmtId="0" fontId="18" fillId="2" borderId="30" xfId="0" applyFont="1" applyFill="1" applyBorder="1" applyAlignment="1">
      <alignment horizontal="center" vertical="center"/>
    </xf>
    <xf numFmtId="0" fontId="20" fillId="2" borderId="16" xfId="0" applyFont="1" applyFill="1" applyBorder="1" applyAlignment="1">
      <alignment horizontal="center"/>
    </xf>
    <xf numFmtId="0" fontId="18" fillId="0" borderId="16" xfId="0" applyFont="1" applyBorder="1" applyAlignment="1">
      <alignment horizontal="center" vertical="center"/>
    </xf>
    <xf numFmtId="0" fontId="37" fillId="0" borderId="0" xfId="0" applyFont="1" applyAlignment="1">
      <alignment horizontal="left"/>
    </xf>
    <xf numFmtId="0" fontId="18" fillId="2" borderId="0" xfId="0" applyFont="1" applyFill="1" applyAlignment="1">
      <alignment horizontal="center"/>
    </xf>
    <xf numFmtId="0" fontId="7" fillId="2" borderId="2" xfId="0" applyFont="1" applyFill="1" applyBorder="1" applyAlignment="1">
      <alignment horizontal="left" vertical="top"/>
    </xf>
    <xf numFmtId="0" fontId="7" fillId="2" borderId="3" xfId="0" applyFont="1" applyFill="1" applyBorder="1" applyAlignment="1">
      <alignment horizontal="left" vertical="top"/>
    </xf>
    <xf numFmtId="0" fontId="7" fillId="2" borderId="4" xfId="0" applyFont="1" applyFill="1" applyBorder="1" applyAlignment="1">
      <alignment horizontal="left" vertical="top"/>
    </xf>
    <xf numFmtId="0" fontId="1" fillId="0" borderId="0" xfId="0" applyFont="1" applyAlignment="1">
      <alignment horizontal="center"/>
    </xf>
    <xf numFmtId="0" fontId="18" fillId="4" borderId="1" xfId="0" applyFont="1" applyFill="1" applyBorder="1" applyAlignment="1">
      <alignment horizontal="left"/>
    </xf>
    <xf numFmtId="0" fontId="18" fillId="4" borderId="1" xfId="0" applyFont="1" applyFill="1" applyBorder="1" applyAlignment="1">
      <alignment horizontal="center"/>
    </xf>
    <xf numFmtId="0" fontId="18" fillId="0" borderId="29" xfId="0" applyFont="1" applyBorder="1" applyAlignment="1">
      <alignment horizontal="center"/>
    </xf>
    <xf numFmtId="0" fontId="18" fillId="0" borderId="75" xfId="0" applyFont="1" applyBorder="1" applyAlignment="1">
      <alignment horizontal="center"/>
    </xf>
    <xf numFmtId="0" fontId="18" fillId="0" borderId="30" xfId="0" applyFont="1" applyBorder="1" applyAlignment="1">
      <alignment horizontal="center"/>
    </xf>
    <xf numFmtId="0" fontId="18" fillId="0" borderId="33" xfId="0" applyFont="1" applyBorder="1" applyAlignment="1">
      <alignment horizontal="center" vertical="center" wrapText="1"/>
    </xf>
    <xf numFmtId="0" fontId="18" fillId="0" borderId="55" xfId="0" applyFont="1" applyBorder="1" applyAlignment="1">
      <alignment horizontal="center" vertical="center" wrapText="1"/>
    </xf>
    <xf numFmtId="0" fontId="18" fillId="0" borderId="34" xfId="0" applyFont="1" applyBorder="1" applyAlignment="1">
      <alignment horizontal="center" vertical="center" wrapText="1"/>
    </xf>
    <xf numFmtId="0" fontId="18" fillId="0" borderId="2" xfId="0" applyFont="1" applyBorder="1" applyAlignment="1">
      <alignment horizontal="center"/>
    </xf>
    <xf numFmtId="0" fontId="18" fillId="0" borderId="3" xfId="0" applyFont="1" applyBorder="1" applyAlignment="1">
      <alignment horizontal="center"/>
    </xf>
    <xf numFmtId="0" fontId="18" fillId="0" borderId="4" xfId="0" applyFont="1" applyBorder="1" applyAlignment="1">
      <alignment horizontal="center"/>
    </xf>
    <xf numFmtId="0" fontId="13" fillId="0" borderId="111" xfId="0" applyFont="1" applyBorder="1" applyAlignment="1">
      <alignment vertical="top" wrapText="1"/>
    </xf>
    <xf numFmtId="0" fontId="13" fillId="0" borderId="112" xfId="0" applyFont="1" applyBorder="1" applyAlignment="1">
      <alignment vertical="top" wrapText="1"/>
    </xf>
    <xf numFmtId="0" fontId="13" fillId="0" borderId="113" xfId="0" applyFont="1" applyBorder="1" applyAlignment="1">
      <alignment vertical="top" wrapText="1"/>
    </xf>
    <xf numFmtId="0" fontId="19" fillId="0" borderId="1" xfId="0" applyFont="1" applyBorder="1" applyAlignment="1">
      <alignment horizontal="center"/>
    </xf>
    <xf numFmtId="0" fontId="7" fillId="2" borderId="1" xfId="0" applyFont="1" applyFill="1" applyBorder="1" applyAlignment="1">
      <alignment horizontal="left" vertical="top"/>
    </xf>
    <xf numFmtId="0" fontId="0" fillId="0" borderId="1" xfId="0" applyBorder="1" applyAlignment="1">
      <alignment horizontal="left" vertical="top"/>
    </xf>
    <xf numFmtId="0" fontId="7" fillId="2" borderId="0" xfId="0" applyFont="1" applyFill="1" applyAlignment="1">
      <alignment horizontal="left" vertical="top"/>
    </xf>
    <xf numFmtId="0" fontId="0" fillId="0" borderId="0" xfId="0" applyAlignment="1">
      <alignment horizontal="left" vertical="top"/>
    </xf>
    <xf numFmtId="0" fontId="13" fillId="0" borderId="114" xfId="0" applyFont="1" applyBorder="1" applyAlignment="1">
      <alignment vertical="top" wrapText="1"/>
    </xf>
    <xf numFmtId="0" fontId="13" fillId="0" borderId="50" xfId="0" applyFont="1" applyBorder="1" applyAlignment="1">
      <alignment vertical="top" wrapText="1"/>
    </xf>
    <xf numFmtId="0" fontId="13" fillId="0" borderId="51" xfId="0" applyFont="1" applyBorder="1" applyAlignment="1">
      <alignment vertical="top" wrapText="1"/>
    </xf>
    <xf numFmtId="0" fontId="13" fillId="0" borderId="49" xfId="0" applyFont="1" applyBorder="1" applyAlignment="1">
      <alignment vertical="top" wrapText="1"/>
    </xf>
    <xf numFmtId="0" fontId="33" fillId="0" borderId="50" xfId="0" applyFont="1" applyBorder="1"/>
    <xf numFmtId="0" fontId="33" fillId="0" borderId="51" xfId="0" applyFont="1" applyBorder="1"/>
    <xf numFmtId="0" fontId="18" fillId="0" borderId="11" xfId="0" applyFont="1" applyBorder="1" applyAlignment="1">
      <alignment horizontal="center"/>
    </xf>
    <xf numFmtId="0" fontId="19" fillId="0" borderId="0" xfId="0" applyFont="1" applyAlignment="1">
      <alignment horizontal="center"/>
    </xf>
    <xf numFmtId="0" fontId="3" fillId="2" borderId="0" xfId="0" applyFont="1" applyFill="1" applyAlignment="1">
      <alignment horizontal="center" vertical="center" wrapText="1"/>
    </xf>
    <xf numFmtId="0" fontId="0" fillId="0" borderId="0" xfId="0" applyAlignment="1">
      <alignment horizontal="center" vertical="center" wrapText="1"/>
    </xf>
    <xf numFmtId="0" fontId="16" fillId="3" borderId="2" xfId="0" applyFont="1" applyFill="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16" fillId="3" borderId="2" xfId="0" applyFont="1" applyFill="1" applyBorder="1" applyAlignment="1">
      <alignment horizontal="center"/>
    </xf>
    <xf numFmtId="0" fontId="16" fillId="3" borderId="3" xfId="0" applyFont="1" applyFill="1" applyBorder="1" applyAlignment="1">
      <alignment horizontal="center"/>
    </xf>
    <xf numFmtId="0" fontId="0" fillId="0" borderId="4" xfId="0" applyBorder="1" applyAlignment="1">
      <alignment horizontal="center"/>
    </xf>
    <xf numFmtId="0" fontId="32" fillId="18" borderId="1" xfId="0" applyFont="1" applyFill="1" applyBorder="1"/>
    <xf numFmtId="0" fontId="28" fillId="18" borderId="1" xfId="0" applyFont="1" applyFill="1" applyBorder="1"/>
    <xf numFmtId="0" fontId="7" fillId="0" borderId="26" xfId="0" applyFont="1" applyBorder="1" applyAlignment="1">
      <alignment horizontal="center" vertical="center"/>
    </xf>
    <xf numFmtId="0" fontId="7" fillId="0" borderId="41" xfId="0" applyFont="1" applyBorder="1" applyAlignment="1">
      <alignment horizontal="center" vertical="center"/>
    </xf>
    <xf numFmtId="0" fontId="1" fillId="2" borderId="5" xfId="0" applyFont="1" applyFill="1" applyBorder="1" applyAlignment="1">
      <alignment horizontal="center" wrapText="1"/>
    </xf>
    <xf numFmtId="0" fontId="1" fillId="2" borderId="6" xfId="0" applyFont="1" applyFill="1" applyBorder="1" applyAlignment="1">
      <alignment horizontal="center" wrapText="1"/>
    </xf>
    <xf numFmtId="0" fontId="17" fillId="0" borderId="14" xfId="0" applyFont="1" applyBorder="1" applyAlignment="1">
      <alignment horizontal="center"/>
    </xf>
    <xf numFmtId="0" fontId="17" fillId="0" borderId="0" xfId="0" applyFont="1" applyAlignment="1">
      <alignment horizontal="center"/>
    </xf>
    <xf numFmtId="0" fontId="2" fillId="2" borderId="0" xfId="0" applyFont="1" applyFill="1" applyAlignment="1">
      <alignment horizontal="center"/>
    </xf>
    <xf numFmtId="0" fontId="16" fillId="3" borderId="1" xfId="0" applyFont="1" applyFill="1" applyBorder="1" applyAlignment="1">
      <alignment horizontal="center"/>
    </xf>
    <xf numFmtId="0" fontId="16" fillId="3" borderId="5" xfId="0" applyFont="1" applyFill="1" applyBorder="1" applyAlignment="1">
      <alignment horizontal="center" vertical="center" wrapText="1"/>
    </xf>
    <xf numFmtId="0" fontId="16" fillId="3" borderId="7" xfId="0" applyFont="1" applyFill="1" applyBorder="1" applyAlignment="1">
      <alignment horizontal="center" vertical="center" wrapText="1"/>
    </xf>
    <xf numFmtId="0" fontId="16" fillId="3" borderId="6" xfId="0" applyFont="1" applyFill="1" applyBorder="1" applyAlignment="1">
      <alignment horizontal="center" vertical="center" wrapText="1"/>
    </xf>
    <xf numFmtId="0" fontId="23" fillId="3" borderId="8" xfId="0" applyFont="1" applyFill="1" applyBorder="1" applyAlignment="1">
      <alignment horizontal="center" vertical="center" wrapText="1"/>
    </xf>
    <xf numFmtId="0" fontId="23" fillId="3" borderId="12" xfId="0" applyFont="1" applyFill="1" applyBorder="1" applyAlignment="1">
      <alignment horizontal="center" vertical="center" wrapText="1"/>
    </xf>
    <xf numFmtId="0" fontId="23" fillId="3" borderId="9" xfId="0" applyFont="1" applyFill="1" applyBorder="1" applyAlignment="1">
      <alignment horizontal="center" vertical="center" wrapText="1"/>
    </xf>
    <xf numFmtId="0" fontId="23" fillId="3" borderId="10" xfId="0" applyFont="1" applyFill="1" applyBorder="1" applyAlignment="1">
      <alignment horizontal="center" vertical="center" wrapText="1"/>
    </xf>
    <xf numFmtId="0" fontId="23" fillId="3" borderId="13" xfId="0" applyFont="1" applyFill="1" applyBorder="1" applyAlignment="1">
      <alignment horizontal="center" vertical="center" wrapText="1"/>
    </xf>
    <xf numFmtId="0" fontId="23" fillId="3" borderId="11" xfId="0" applyFont="1" applyFill="1" applyBorder="1" applyAlignment="1">
      <alignment horizontal="center" vertical="center" wrapText="1"/>
    </xf>
    <xf numFmtId="0" fontId="2" fillId="2" borderId="12" xfId="0" applyFont="1" applyFill="1" applyBorder="1" applyAlignment="1">
      <alignment horizontal="center"/>
    </xf>
    <xf numFmtId="0" fontId="16" fillId="3" borderId="4" xfId="0" applyFont="1" applyFill="1" applyBorder="1" applyAlignment="1">
      <alignment horizontal="center"/>
    </xf>
    <xf numFmtId="0" fontId="1" fillId="2" borderId="1" xfId="0" applyFont="1" applyFill="1" applyBorder="1" applyAlignment="1">
      <alignment horizontal="center"/>
    </xf>
    <xf numFmtId="2" fontId="0" fillId="2" borderId="1" xfId="0" applyNumberFormat="1" applyFill="1" applyBorder="1" applyAlignment="1">
      <alignment horizontal="center"/>
    </xf>
    <xf numFmtId="2" fontId="26" fillId="4" borderId="2" xfId="0" applyNumberFormat="1" applyFont="1" applyFill="1" applyBorder="1" applyAlignment="1">
      <alignment horizontal="center"/>
    </xf>
    <xf numFmtId="2" fontId="26" fillId="4" borderId="3" xfId="0" applyNumberFormat="1" applyFont="1" applyFill="1" applyBorder="1" applyAlignment="1">
      <alignment horizontal="center"/>
    </xf>
    <xf numFmtId="2" fontId="26" fillId="4" borderId="4" xfId="0" applyNumberFormat="1" applyFont="1" applyFill="1" applyBorder="1" applyAlignment="1">
      <alignment horizontal="center"/>
    </xf>
    <xf numFmtId="0" fontId="0" fillId="2" borderId="1" xfId="0" applyFill="1" applyBorder="1" applyAlignment="1">
      <alignment horizontal="center"/>
    </xf>
    <xf numFmtId="0" fontId="7" fillId="14" borderId="1" xfId="0" applyFont="1" applyFill="1" applyBorder="1" applyAlignment="1">
      <alignment horizontal="left" wrapText="1"/>
    </xf>
    <xf numFmtId="0" fontId="0" fillId="0" borderId="1" xfId="0" applyBorder="1" applyAlignment="1">
      <alignment horizontal="left" wrapText="1"/>
    </xf>
    <xf numFmtId="0" fontId="20" fillId="2" borderId="0" xfId="0" applyFont="1" applyFill="1" applyAlignment="1">
      <alignment horizontal="center"/>
    </xf>
    <xf numFmtId="0" fontId="21" fillId="10" borderId="1" xfId="0" applyFont="1" applyFill="1" applyBorder="1" applyAlignment="1">
      <alignment horizontal="center" vertical="center"/>
    </xf>
    <xf numFmtId="0" fontId="16" fillId="10" borderId="1" xfId="0" applyFont="1" applyFill="1" applyBorder="1" applyAlignment="1">
      <alignment horizontal="center"/>
    </xf>
    <xf numFmtId="0" fontId="16" fillId="10" borderId="1" xfId="0" applyFont="1" applyFill="1" applyBorder="1" applyAlignment="1">
      <alignment horizontal="center" vertical="center"/>
    </xf>
    <xf numFmtId="0" fontId="21" fillId="10" borderId="2" xfId="0" applyFont="1" applyFill="1" applyBorder="1" applyAlignment="1">
      <alignment horizontal="center" vertical="center"/>
    </xf>
    <xf numFmtId="0" fontId="21" fillId="10" borderId="3" xfId="0" applyFont="1" applyFill="1" applyBorder="1" applyAlignment="1">
      <alignment horizontal="center" vertical="center"/>
    </xf>
    <xf numFmtId="0" fontId="21" fillId="10" borderId="4" xfId="0" applyFont="1" applyFill="1" applyBorder="1" applyAlignment="1">
      <alignment horizontal="center" vertical="center"/>
    </xf>
    <xf numFmtId="0" fontId="21" fillId="10" borderId="1" xfId="0" applyFont="1" applyFill="1" applyBorder="1" applyAlignment="1">
      <alignment horizontal="left" vertical="center"/>
    </xf>
    <xf numFmtId="0" fontId="16" fillId="12" borderId="1" xfId="0" applyFont="1" applyFill="1" applyBorder="1" applyAlignment="1">
      <alignment horizontal="center"/>
    </xf>
    <xf numFmtId="0" fontId="16" fillId="3" borderId="1" xfId="0" applyFont="1" applyFill="1" applyBorder="1" applyAlignment="1">
      <alignment horizontal="center" vertical="center"/>
    </xf>
    <xf numFmtId="0" fontId="21" fillId="5" borderId="1" xfId="0" applyFont="1" applyFill="1" applyBorder="1" applyAlignment="1">
      <alignment horizontal="center"/>
    </xf>
    <xf numFmtId="0" fontId="1" fillId="2" borderId="5"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1" fillId="12" borderId="1" xfId="0" applyFont="1" applyFill="1" applyBorder="1" applyAlignment="1">
      <alignment horizontal="left" vertical="center" wrapText="1"/>
    </xf>
    <xf numFmtId="0" fontId="21" fillId="12" borderId="8" xfId="0" applyFont="1" applyFill="1" applyBorder="1" applyAlignment="1">
      <alignment horizontal="left" vertical="center" wrapText="1"/>
    </xf>
    <xf numFmtId="0" fontId="21" fillId="12" borderId="12" xfId="0" applyFont="1" applyFill="1" applyBorder="1" applyAlignment="1">
      <alignment horizontal="left" vertical="center" wrapText="1"/>
    </xf>
    <xf numFmtId="0" fontId="21" fillId="12" borderId="9" xfId="0" applyFont="1" applyFill="1" applyBorder="1" applyAlignment="1">
      <alignment horizontal="left" vertical="center" wrapText="1"/>
    </xf>
    <xf numFmtId="0" fontId="21" fillId="12" borderId="10" xfId="0" applyFont="1" applyFill="1" applyBorder="1" applyAlignment="1">
      <alignment horizontal="left" vertical="center" wrapText="1"/>
    </xf>
    <xf numFmtId="0" fontId="21" fillId="12" borderId="13" xfId="0" applyFont="1" applyFill="1" applyBorder="1" applyAlignment="1">
      <alignment horizontal="left" vertical="center" wrapText="1"/>
    </xf>
    <xf numFmtId="0" fontId="21" fillId="12" borderId="11" xfId="0" applyFont="1" applyFill="1" applyBorder="1" applyAlignment="1">
      <alignment horizontal="left" vertical="center" wrapText="1"/>
    </xf>
    <xf numFmtId="0" fontId="1" fillId="2" borderId="13" xfId="0" applyFont="1" applyFill="1" applyBorder="1" applyAlignment="1">
      <alignment horizontal="center"/>
    </xf>
    <xf numFmtId="2" fontId="26" fillId="2" borderId="0" xfId="0" applyNumberFormat="1" applyFont="1" applyFill="1" applyAlignment="1">
      <alignment horizontal="center"/>
    </xf>
    <xf numFmtId="0" fontId="21" fillId="2" borderId="0" xfId="0" applyFont="1" applyFill="1"/>
    <xf numFmtId="0" fontId="16" fillId="5" borderId="1" xfId="0" applyFont="1" applyFill="1" applyBorder="1" applyAlignment="1">
      <alignment horizontal="center"/>
    </xf>
    <xf numFmtId="0" fontId="1" fillId="2" borderId="0" xfId="0" applyFont="1" applyFill="1" applyAlignment="1">
      <alignment horizontal="center"/>
    </xf>
    <xf numFmtId="0" fontId="7" fillId="14" borderId="1" xfId="0" applyFont="1" applyFill="1" applyBorder="1" applyAlignment="1">
      <alignment horizontal="left"/>
    </xf>
    <xf numFmtId="0" fontId="0" fillId="0" borderId="1" xfId="0" applyBorder="1" applyAlignment="1">
      <alignment horizontal="left"/>
    </xf>
    <xf numFmtId="0" fontId="16" fillId="3" borderId="5" xfId="0" applyFont="1" applyFill="1" applyBorder="1" applyAlignment="1">
      <alignment horizontal="center" vertical="center"/>
    </xf>
    <xf numFmtId="0" fontId="16" fillId="3" borderId="6" xfId="0" applyFont="1" applyFill="1" applyBorder="1" applyAlignment="1">
      <alignment horizontal="center" vertical="center"/>
    </xf>
    <xf numFmtId="0" fontId="16" fillId="3" borderId="2" xfId="0" applyFont="1" applyFill="1" applyBorder="1" applyAlignment="1">
      <alignment horizontal="center" wrapText="1"/>
    </xf>
    <xf numFmtId="0" fontId="16" fillId="3" borderId="3" xfId="0" applyFont="1" applyFill="1" applyBorder="1" applyAlignment="1">
      <alignment horizontal="center" wrapText="1"/>
    </xf>
    <xf numFmtId="0" fontId="16" fillId="3" borderId="4" xfId="0" applyFont="1" applyFill="1" applyBorder="1" applyAlignment="1">
      <alignment horizontal="center" wrapText="1"/>
    </xf>
    <xf numFmtId="0" fontId="19" fillId="13" borderId="1" xfId="0" applyFont="1" applyFill="1" applyBorder="1" applyAlignment="1">
      <alignment horizontal="left" vertical="center" wrapText="1"/>
    </xf>
    <xf numFmtId="0" fontId="16" fillId="0" borderId="0" xfId="0" applyFont="1" applyAlignment="1">
      <alignment horizontal="center"/>
    </xf>
    <xf numFmtId="0" fontId="19" fillId="2" borderId="0" xfId="0" applyFont="1" applyFill="1" applyAlignment="1">
      <alignment horizontal="center" vertical="center" wrapText="1"/>
    </xf>
    <xf numFmtId="0" fontId="7" fillId="2" borderId="0" xfId="0" applyFont="1" applyFill="1" applyAlignment="1">
      <alignment horizontal="left" wrapText="1"/>
    </xf>
    <xf numFmtId="0" fontId="0" fillId="2" borderId="0" xfId="0" applyFill="1" applyAlignment="1">
      <alignment horizontal="left" wrapText="1"/>
    </xf>
    <xf numFmtId="0" fontId="30" fillId="0" borderId="0" xfId="0" applyFont="1" applyAlignment="1">
      <alignment horizontal="center"/>
    </xf>
    <xf numFmtId="0" fontId="10" fillId="9" borderId="18" xfId="0" applyFont="1" applyFill="1" applyBorder="1" applyAlignment="1">
      <alignment horizontal="center" vertical="center" wrapText="1"/>
    </xf>
    <xf numFmtId="0" fontId="10" fillId="9" borderId="22" xfId="0" applyFont="1" applyFill="1" applyBorder="1" applyAlignment="1">
      <alignment horizontal="center" vertical="center" wrapText="1"/>
    </xf>
    <xf numFmtId="0" fontId="10" fillId="9" borderId="19" xfId="0" applyFont="1" applyFill="1" applyBorder="1" applyAlignment="1">
      <alignment horizontal="center" vertical="center" wrapText="1"/>
    </xf>
    <xf numFmtId="0" fontId="10" fillId="9" borderId="20" xfId="0" applyFont="1" applyFill="1" applyBorder="1" applyAlignment="1">
      <alignment horizontal="center" vertical="center" wrapText="1"/>
    </xf>
    <xf numFmtId="0" fontId="10" fillId="9" borderId="21" xfId="0" applyFont="1" applyFill="1" applyBorder="1" applyAlignment="1">
      <alignment horizontal="center" vertical="center" wrapText="1"/>
    </xf>
    <xf numFmtId="0" fontId="9" fillId="0" borderId="0" xfId="0" applyFont="1" applyAlignment="1">
      <alignment horizontal="center"/>
    </xf>
    <xf numFmtId="0" fontId="16" fillId="0" borderId="26" xfId="0" applyFont="1" applyBorder="1" applyAlignment="1">
      <alignment horizontal="center" vertical="center" wrapText="1"/>
    </xf>
    <xf numFmtId="0" fontId="16" fillId="0" borderId="27" xfId="0" applyFont="1" applyBorder="1" applyAlignment="1">
      <alignment horizontal="center" vertical="center" wrapText="1"/>
    </xf>
    <xf numFmtId="0" fontId="16" fillId="0" borderId="15" xfId="0" applyFont="1" applyBorder="1" applyAlignment="1">
      <alignment horizontal="center"/>
    </xf>
    <xf numFmtId="0" fontId="16" fillId="0" borderId="16" xfId="0" applyFont="1" applyBorder="1" applyAlignment="1">
      <alignment horizontal="center"/>
    </xf>
    <xf numFmtId="0" fontId="16" fillId="0" borderId="17" xfId="0" applyFont="1" applyBorder="1" applyAlignment="1">
      <alignment horizontal="center"/>
    </xf>
    <xf numFmtId="0" fontId="21" fillId="2" borderId="0" xfId="0" applyFont="1" applyFill="1" applyAlignment="1">
      <alignment horizontal="center"/>
    </xf>
    <xf numFmtId="0" fontId="16" fillId="2" borderId="2" xfId="0" applyFont="1" applyFill="1" applyBorder="1" applyAlignment="1">
      <alignment horizontal="center" vertical="center"/>
    </xf>
    <xf numFmtId="0" fontId="16" fillId="2" borderId="3" xfId="0" applyFont="1" applyFill="1" applyBorder="1" applyAlignment="1">
      <alignment horizontal="center" vertical="center"/>
    </xf>
    <xf numFmtId="0" fontId="16" fillId="2" borderId="4" xfId="0" applyFont="1" applyFill="1" applyBorder="1" applyAlignment="1">
      <alignment horizontal="center" vertical="center"/>
    </xf>
    <xf numFmtId="0" fontId="18" fillId="2" borderId="2" xfId="0" applyFont="1" applyFill="1" applyBorder="1" applyAlignment="1">
      <alignment horizontal="center" vertical="center"/>
    </xf>
    <xf numFmtId="0" fontId="18" fillId="2" borderId="3" xfId="0" applyFont="1" applyFill="1" applyBorder="1" applyAlignment="1">
      <alignment horizontal="center" vertical="center"/>
    </xf>
    <xf numFmtId="0" fontId="18" fillId="2" borderId="4" xfId="0" applyFont="1" applyFill="1" applyBorder="1" applyAlignment="1">
      <alignment horizontal="center" vertical="center"/>
    </xf>
    <xf numFmtId="0" fontId="37" fillId="2" borderId="0" xfId="0" applyFont="1" applyFill="1" applyAlignment="1">
      <alignment horizontal="center" vertical="center"/>
    </xf>
    <xf numFmtId="0" fontId="38" fillId="2" borderId="0" xfId="0" applyFont="1" applyFill="1"/>
    <xf numFmtId="0" fontId="37" fillId="2" borderId="0" xfId="0" applyFont="1" applyFill="1" applyAlignment="1">
      <alignment horizontal="center" vertical="center" wrapText="1"/>
    </xf>
    <xf numFmtId="0" fontId="7" fillId="2" borderId="0" xfId="0" applyFont="1" applyFill="1" applyAlignment="1">
      <alignment horizontal="left" vertical="top" wrapText="1"/>
    </xf>
    <xf numFmtId="0" fontId="19" fillId="2" borderId="0" xfId="0" applyFont="1" applyFill="1" applyAlignment="1">
      <alignment horizontal="center"/>
    </xf>
    <xf numFmtId="0" fontId="20" fillId="2" borderId="0" xfId="0" applyFont="1" applyFill="1" applyAlignment="1">
      <alignment horizontal="center" vertical="center" wrapText="1"/>
    </xf>
    <xf numFmtId="0" fontId="37" fillId="0" borderId="62" xfId="0" applyFont="1" applyBorder="1" applyAlignment="1">
      <alignment horizontal="center" vertical="center" wrapText="1"/>
    </xf>
    <xf numFmtId="0" fontId="37" fillId="0" borderId="66" xfId="0" applyFont="1" applyBorder="1" applyAlignment="1">
      <alignment horizontal="center" vertical="center" wrapText="1"/>
    </xf>
    <xf numFmtId="0" fontId="37" fillId="0" borderId="71" xfId="0" applyFont="1" applyBorder="1" applyAlignment="1">
      <alignment horizontal="center" vertical="center" wrapText="1"/>
    </xf>
    <xf numFmtId="0" fontId="38" fillId="0" borderId="66" xfId="0" applyFont="1" applyBorder="1"/>
    <xf numFmtId="0" fontId="38" fillId="0" borderId="71" xfId="0" applyFont="1" applyBorder="1"/>
    <xf numFmtId="0" fontId="37" fillId="0" borderId="73" xfId="0" applyFont="1" applyBorder="1" applyAlignment="1">
      <alignment horizontal="center" vertical="center" wrapText="1"/>
    </xf>
    <xf numFmtId="0" fontId="38" fillId="0" borderId="63" xfId="0" applyFont="1" applyBorder="1"/>
    <xf numFmtId="0" fontId="37" fillId="23" borderId="46" xfId="0" applyFont="1" applyFill="1" applyBorder="1" applyAlignment="1">
      <alignment horizontal="center" vertical="center"/>
    </xf>
    <xf numFmtId="0" fontId="37" fillId="23" borderId="47" xfId="0" applyFont="1" applyFill="1" applyBorder="1" applyAlignment="1">
      <alignment horizontal="center" vertical="center"/>
    </xf>
    <xf numFmtId="0" fontId="38" fillId="0" borderId="48" xfId="0" applyFont="1" applyBorder="1"/>
    <xf numFmtId="0" fontId="40" fillId="24" borderId="89" xfId="0" applyFont="1" applyFill="1" applyBorder="1" applyAlignment="1">
      <alignment horizontal="center" vertical="center" wrapText="1"/>
    </xf>
    <xf numFmtId="0" fontId="38" fillId="0" borderId="57" xfId="0" applyFont="1" applyBorder="1"/>
    <xf numFmtId="0" fontId="40" fillId="24" borderId="81" xfId="0" applyFont="1" applyFill="1" applyBorder="1" applyAlignment="1">
      <alignment horizontal="center" vertical="center" wrapText="1"/>
    </xf>
    <xf numFmtId="0" fontId="38" fillId="0" borderId="70" xfId="0" applyFont="1" applyBorder="1"/>
    <xf numFmtId="0" fontId="40" fillId="24" borderId="82" xfId="0" applyFont="1" applyFill="1" applyBorder="1" applyAlignment="1">
      <alignment horizontal="center" vertical="center" wrapText="1"/>
    </xf>
    <xf numFmtId="0" fontId="38" fillId="0" borderId="72" xfId="0" applyFont="1" applyBorder="1"/>
    <xf numFmtId="0" fontId="37" fillId="38" borderId="0" xfId="0" applyFont="1" applyFill="1" applyAlignment="1">
      <alignment horizontal="center"/>
    </xf>
    <xf numFmtId="0" fontId="37" fillId="39" borderId="0" xfId="0" applyFont="1" applyFill="1" applyAlignment="1">
      <alignment horizontal="center" vertical="center" wrapText="1"/>
    </xf>
    <xf numFmtId="0" fontId="37" fillId="39" borderId="0" xfId="0" applyFont="1" applyFill="1" applyAlignment="1">
      <alignment horizontal="center" vertical="center"/>
    </xf>
    <xf numFmtId="0" fontId="44" fillId="0" borderId="37" xfId="0" applyFont="1" applyBorder="1" applyAlignment="1">
      <alignment wrapText="1"/>
    </xf>
    <xf numFmtId="0" fontId="44" fillId="0" borderId="105" xfId="0" applyFont="1" applyBorder="1" applyAlignment="1">
      <alignment wrapText="1"/>
    </xf>
    <xf numFmtId="0" fontId="37" fillId="0" borderId="49" xfId="0" applyFont="1" applyBorder="1" applyAlignment="1">
      <alignment horizontal="center" vertical="center"/>
    </xf>
    <xf numFmtId="0" fontId="38" fillId="0" borderId="50" xfId="0" applyFont="1" applyBorder="1"/>
    <xf numFmtId="0" fontId="38" fillId="0" borderId="81" xfId="0" applyFont="1" applyBorder="1"/>
    <xf numFmtId="0" fontId="37" fillId="21" borderId="46" xfId="0" applyFont="1" applyFill="1" applyBorder="1" applyAlignment="1">
      <alignment horizontal="center" wrapText="1"/>
    </xf>
    <xf numFmtId="0" fontId="38" fillId="0" borderId="47" xfId="0" applyFont="1" applyBorder="1"/>
    <xf numFmtId="0" fontId="38" fillId="0" borderId="51" xfId="0" applyFont="1" applyBorder="1"/>
    <xf numFmtId="0" fontId="37" fillId="35" borderId="0" xfId="0" applyFont="1" applyFill="1" applyAlignment="1">
      <alignment horizontal="center"/>
    </xf>
    <xf numFmtId="0" fontId="37" fillId="21" borderId="52" xfId="0" applyFont="1" applyFill="1" applyBorder="1" applyAlignment="1">
      <alignment horizontal="center" wrapText="1"/>
    </xf>
    <xf numFmtId="0" fontId="38" fillId="0" borderId="53" xfId="0" applyFont="1" applyBorder="1"/>
    <xf numFmtId="0" fontId="40" fillId="23" borderId="49" xfId="0" applyFont="1" applyFill="1" applyBorder="1" applyAlignment="1">
      <alignment horizontal="center" vertical="center"/>
    </xf>
    <xf numFmtId="0" fontId="37" fillId="21" borderId="50" xfId="0" applyFont="1" applyFill="1" applyBorder="1" applyAlignment="1">
      <alignment horizontal="center" wrapText="1"/>
    </xf>
    <xf numFmtId="0" fontId="37" fillId="21" borderId="53" xfId="0" applyFont="1" applyFill="1" applyBorder="1" applyAlignment="1">
      <alignment horizontal="center" wrapText="1"/>
    </xf>
    <xf numFmtId="0" fontId="44" fillId="0" borderId="1" xfId="0" applyFont="1" applyBorder="1" applyAlignment="1">
      <alignment vertical="top" wrapText="1"/>
    </xf>
    <xf numFmtId="0" fontId="44" fillId="0" borderId="103" xfId="0" applyFont="1" applyBorder="1" applyAlignment="1">
      <alignment vertical="top" wrapText="1"/>
    </xf>
    <xf numFmtId="0" fontId="44" fillId="0" borderId="36" xfId="0" applyFont="1" applyBorder="1" applyAlignment="1">
      <alignment wrapText="1"/>
    </xf>
    <xf numFmtId="0" fontId="44" fillId="0" borderId="101" xfId="0" applyFont="1" applyBorder="1" applyAlignment="1">
      <alignment wrapText="1"/>
    </xf>
    <xf numFmtId="0" fontId="38" fillId="4" borderId="94" xfId="0" applyFont="1" applyFill="1" applyBorder="1" applyAlignment="1">
      <alignment horizontal="center" textRotation="90"/>
    </xf>
    <xf numFmtId="0" fontId="38" fillId="4" borderId="95" xfId="0" applyFont="1" applyFill="1" applyBorder="1" applyAlignment="1">
      <alignment horizontal="center" textRotation="90"/>
    </xf>
    <xf numFmtId="0" fontId="38" fillId="4" borderId="96" xfId="0" applyFont="1" applyFill="1" applyBorder="1" applyAlignment="1">
      <alignment horizontal="center" textRotation="90"/>
    </xf>
    <xf numFmtId="0" fontId="40" fillId="0" borderId="30" xfId="0" applyFont="1" applyBorder="1" applyAlignment="1">
      <alignment horizontal="center" vertical="center"/>
    </xf>
    <xf numFmtId="0" fontId="40" fillId="0" borderId="58" xfId="0" applyFont="1" applyBorder="1" applyAlignment="1">
      <alignment horizontal="center" vertical="center"/>
    </xf>
    <xf numFmtId="0" fontId="37" fillId="23" borderId="97" xfId="0" applyFont="1" applyFill="1" applyBorder="1" applyAlignment="1">
      <alignment horizontal="center" vertical="center" textRotation="90"/>
    </xf>
    <xf numFmtId="0" fontId="37" fillId="23" borderId="66" xfId="0" applyFont="1" applyFill="1" applyBorder="1" applyAlignment="1">
      <alignment horizontal="center" vertical="center" textRotation="90"/>
    </xf>
    <xf numFmtId="0" fontId="37" fillId="23" borderId="71" xfId="0" applyFont="1" applyFill="1" applyBorder="1" applyAlignment="1">
      <alignment horizontal="center" vertical="center" textRotation="90"/>
    </xf>
    <xf numFmtId="0" fontId="40" fillId="26" borderId="90" xfId="0" applyFont="1" applyFill="1" applyBorder="1" applyAlignment="1">
      <alignment horizontal="center" vertical="center" wrapText="1"/>
    </xf>
    <xf numFmtId="0" fontId="40" fillId="26" borderId="75" xfId="0" applyFont="1" applyFill="1" applyBorder="1" applyAlignment="1">
      <alignment horizontal="center" vertical="center" wrapText="1"/>
    </xf>
    <xf numFmtId="0" fontId="40" fillId="26" borderId="91" xfId="0" applyFont="1" applyFill="1" applyBorder="1" applyAlignment="1">
      <alignment horizontal="center" vertical="center" wrapText="1"/>
    </xf>
    <xf numFmtId="0" fontId="40" fillId="26" borderId="63" xfId="0" applyFont="1" applyFill="1" applyBorder="1" applyAlignment="1">
      <alignment horizontal="center" vertical="center" wrapText="1"/>
    </xf>
    <xf numFmtId="0" fontId="40" fillId="26" borderId="0" xfId="0" applyFont="1" applyFill="1" applyAlignment="1">
      <alignment horizontal="center" vertical="center" wrapText="1"/>
    </xf>
    <xf numFmtId="0" fontId="40" fillId="26" borderId="65" xfId="0" applyFont="1" applyFill="1" applyBorder="1" applyAlignment="1">
      <alignment horizontal="center" vertical="center" wrapText="1"/>
    </xf>
    <xf numFmtId="0" fontId="40" fillId="26" borderId="93" xfId="0" applyFont="1" applyFill="1" applyBorder="1" applyAlignment="1">
      <alignment horizontal="center" vertical="center" wrapText="1"/>
    </xf>
    <xf numFmtId="0" fontId="40" fillId="26" borderId="13" xfId="0" applyFont="1" applyFill="1" applyBorder="1" applyAlignment="1">
      <alignment horizontal="center" vertical="center" wrapText="1"/>
    </xf>
    <xf numFmtId="0" fontId="40" fillId="26" borderId="99" xfId="0" applyFont="1" applyFill="1" applyBorder="1" applyAlignment="1">
      <alignment horizontal="center" vertical="center" wrapText="1"/>
    </xf>
    <xf numFmtId="0" fontId="37" fillId="21" borderId="33" xfId="0" applyFont="1" applyFill="1" applyBorder="1" applyAlignment="1">
      <alignment horizontal="center" vertical="center" wrapText="1"/>
    </xf>
    <xf numFmtId="0" fontId="38" fillId="0" borderId="55" xfId="0" applyFont="1" applyBorder="1"/>
    <xf numFmtId="0" fontId="38" fillId="0" borderId="34" xfId="0" applyFont="1" applyBorder="1"/>
    <xf numFmtId="0" fontId="37" fillId="21" borderId="59" xfId="0" applyFont="1" applyFill="1" applyBorder="1" applyAlignment="1">
      <alignment horizontal="center" vertical="center" wrapText="1"/>
    </xf>
    <xf numFmtId="0" fontId="38" fillId="0" borderId="60" xfId="0" applyFont="1" applyBorder="1"/>
    <xf numFmtId="0" fontId="38" fillId="0" borderId="61" xfId="0" applyFont="1" applyBorder="1"/>
    <xf numFmtId="0" fontId="37" fillId="22" borderId="63" xfId="0" applyFont="1" applyFill="1" applyBorder="1" applyAlignment="1">
      <alignment horizontal="center" vertical="center"/>
    </xf>
    <xf numFmtId="0" fontId="38" fillId="0" borderId="0" xfId="0" applyFont="1"/>
    <xf numFmtId="0" fontId="38" fillId="0" borderId="68" xfId="0" applyFont="1" applyBorder="1"/>
    <xf numFmtId="0" fontId="40" fillId="26" borderId="64" xfId="0" applyFont="1" applyFill="1" applyBorder="1" applyAlignment="1">
      <alignment horizontal="center" vertical="center" textRotation="90" wrapText="1"/>
    </xf>
    <xf numFmtId="0" fontId="38" fillId="4" borderId="69" xfId="0" applyFont="1" applyFill="1" applyBorder="1" applyAlignment="1">
      <alignment textRotation="90"/>
    </xf>
    <xf numFmtId="0" fontId="38" fillId="4" borderId="76" xfId="0" applyFont="1" applyFill="1" applyBorder="1" applyAlignment="1">
      <alignment textRotation="90"/>
    </xf>
    <xf numFmtId="0" fontId="37" fillId="23" borderId="98" xfId="0" applyFont="1" applyFill="1" applyBorder="1" applyAlignment="1">
      <alignment horizontal="center" vertical="center" textRotation="90"/>
    </xf>
    <xf numFmtId="0" fontId="37" fillId="23" borderId="67" xfId="0" applyFont="1" applyFill="1" applyBorder="1" applyAlignment="1">
      <alignment horizontal="center" vertical="center" textRotation="90"/>
    </xf>
    <xf numFmtId="0" fontId="37" fillId="23" borderId="72" xfId="0" applyFont="1" applyFill="1" applyBorder="1" applyAlignment="1">
      <alignment horizontal="center" vertical="center" textRotation="90"/>
    </xf>
    <xf numFmtId="0" fontId="37" fillId="23" borderId="48" xfId="0" applyFont="1" applyFill="1" applyBorder="1" applyAlignment="1">
      <alignment horizontal="center" vertical="center"/>
    </xf>
    <xf numFmtId="0" fontId="18" fillId="2" borderId="12" xfId="0" applyFont="1" applyFill="1" applyBorder="1" applyAlignment="1">
      <alignment horizontal="center"/>
    </xf>
    <xf numFmtId="9" fontId="18" fillId="2" borderId="0" xfId="0" applyNumberFormat="1" applyFont="1" applyFill="1" applyAlignment="1">
      <alignment horizontal="left"/>
    </xf>
    <xf numFmtId="0" fontId="37" fillId="29" borderId="6" xfId="0" applyFont="1" applyFill="1" applyBorder="1" applyAlignment="1">
      <alignment horizontal="center" vertical="center" wrapText="1"/>
    </xf>
    <xf numFmtId="0" fontId="37" fillId="29" borderId="6" xfId="0" applyFont="1" applyFill="1" applyBorder="1" applyAlignment="1">
      <alignment horizontal="center" vertical="center"/>
    </xf>
    <xf numFmtId="0" fontId="37" fillId="29" borderId="10" xfId="0" applyFont="1" applyFill="1" applyBorder="1" applyAlignment="1">
      <alignment horizontal="center" vertical="center"/>
    </xf>
    <xf numFmtId="0" fontId="37" fillId="22" borderId="93" xfId="0" applyFont="1" applyFill="1" applyBorder="1" applyAlignment="1">
      <alignment horizontal="center"/>
    </xf>
    <xf numFmtId="0" fontId="37" fillId="22" borderId="13" xfId="0" applyFont="1" applyFill="1" applyBorder="1" applyAlignment="1">
      <alignment horizontal="center"/>
    </xf>
    <xf numFmtId="2" fontId="37" fillId="0" borderId="1" xfId="0" applyNumberFormat="1" applyFont="1" applyBorder="1" applyAlignment="1">
      <alignment horizontal="center" vertical="center"/>
    </xf>
    <xf numFmtId="0" fontId="37" fillId="0" borderId="1" xfId="0" applyFont="1" applyBorder="1" applyAlignment="1">
      <alignment horizontal="center" vertical="center" wrapText="1"/>
    </xf>
    <xf numFmtId="0" fontId="37" fillId="0" borderId="2" xfId="0" applyFont="1" applyBorder="1" applyAlignment="1">
      <alignment horizontal="center" vertical="center" wrapText="1"/>
    </xf>
    <xf numFmtId="0" fontId="18" fillId="7" borderId="1" xfId="0" applyFont="1" applyFill="1" applyBorder="1" applyAlignment="1">
      <alignment horizontal="center"/>
    </xf>
    <xf numFmtId="0" fontId="18" fillId="3" borderId="2" xfId="0" applyFont="1" applyFill="1" applyBorder="1" applyAlignment="1">
      <alignment horizontal="center" vertical="center"/>
    </xf>
    <xf numFmtId="0" fontId="18" fillId="3" borderId="3" xfId="0" applyFont="1" applyFill="1" applyBorder="1" applyAlignment="1">
      <alignment horizontal="center" vertical="center"/>
    </xf>
    <xf numFmtId="0" fontId="18" fillId="3" borderId="4" xfId="0" applyFont="1" applyFill="1" applyBorder="1" applyAlignment="1">
      <alignment horizontal="center" vertical="center"/>
    </xf>
    <xf numFmtId="0" fontId="18" fillId="8" borderId="1" xfId="0" applyFont="1" applyFill="1" applyBorder="1" applyAlignment="1">
      <alignment horizontal="center"/>
    </xf>
    <xf numFmtId="9" fontId="18" fillId="3" borderId="2" xfId="0" applyNumberFormat="1" applyFont="1" applyFill="1" applyBorder="1" applyAlignment="1">
      <alignment horizontal="left"/>
    </xf>
    <xf numFmtId="9" fontId="18" fillId="3" borderId="3" xfId="0" applyNumberFormat="1" applyFont="1" applyFill="1" applyBorder="1" applyAlignment="1">
      <alignment horizontal="left"/>
    </xf>
    <xf numFmtId="9" fontId="18" fillId="3" borderId="4" xfId="0" applyNumberFormat="1" applyFont="1" applyFill="1" applyBorder="1" applyAlignment="1">
      <alignment horizontal="left"/>
    </xf>
    <xf numFmtId="0" fontId="50" fillId="0" borderId="115" xfId="0" applyFont="1" applyBorder="1" applyAlignment="1">
      <alignment horizontal="center" vertical="top" wrapText="1"/>
    </xf>
    <xf numFmtId="0" fontId="37" fillId="28" borderId="115" xfId="0" applyFont="1" applyFill="1" applyBorder="1" applyAlignment="1">
      <alignment horizontal="center"/>
    </xf>
    <xf numFmtId="0" fontId="37" fillId="29" borderId="116" xfId="0" applyFont="1" applyFill="1" applyBorder="1" applyAlignment="1">
      <alignment horizontal="center" vertical="center" wrapText="1"/>
    </xf>
    <xf numFmtId="2" fontId="18" fillId="0" borderId="1" xfId="0" applyNumberFormat="1" applyFont="1" applyBorder="1" applyAlignment="1">
      <alignment horizontal="center"/>
    </xf>
    <xf numFmtId="0" fontId="18" fillId="0" borderId="1" xfId="0" applyFont="1" applyBorder="1" applyAlignment="1">
      <alignment horizontal="center"/>
    </xf>
    <xf numFmtId="0" fontId="2" fillId="2" borderId="1" xfId="0" applyFont="1" applyFill="1" applyBorder="1" applyAlignment="1">
      <alignment horizontal="center" vertical="center"/>
    </xf>
    <xf numFmtId="0" fontId="1" fillId="20" borderId="1" xfId="0" applyFont="1" applyFill="1" applyBorder="1" applyAlignment="1">
      <alignment horizontal="center" vertical="center" wrapText="1"/>
    </xf>
    <xf numFmtId="0" fontId="1" fillId="20" borderId="5" xfId="0" applyFont="1" applyFill="1" applyBorder="1" applyAlignment="1">
      <alignment horizontal="center" vertical="center" wrapText="1"/>
    </xf>
    <xf numFmtId="0" fontId="2" fillId="2" borderId="13" xfId="0" applyFont="1" applyFill="1" applyBorder="1" applyAlignment="1">
      <alignment horizontal="center"/>
    </xf>
    <xf numFmtId="0" fontId="1" fillId="4" borderId="1" xfId="0" applyFont="1" applyFill="1" applyBorder="1" applyAlignment="1">
      <alignment horizontal="center"/>
    </xf>
    <xf numFmtId="0" fontId="0" fillId="2" borderId="2" xfId="0"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1" fillId="4" borderId="1"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2" fontId="32" fillId="16" borderId="2" xfId="0" applyNumberFormat="1" applyFont="1" applyFill="1" applyBorder="1" applyAlignment="1">
      <alignment horizontal="center" vertical="center"/>
    </xf>
    <xf numFmtId="2" fontId="32" fillId="16" borderId="4" xfId="0" applyNumberFormat="1" applyFont="1" applyFill="1" applyBorder="1" applyAlignment="1">
      <alignment horizontal="center" vertical="center"/>
    </xf>
    <xf numFmtId="0" fontId="32" fillId="16" borderId="2" xfId="0" applyFont="1" applyFill="1" applyBorder="1" applyAlignment="1">
      <alignment horizontal="center" vertical="center"/>
    </xf>
    <xf numFmtId="0" fontId="32" fillId="16" borderId="4" xfId="0" applyFont="1" applyFill="1"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1" xfId="0" applyBorder="1" applyAlignment="1">
      <alignment horizontal="left" vertical="center" wrapText="1"/>
    </xf>
    <xf numFmtId="0" fontId="0" fillId="0" borderId="0" xfId="0" applyAlignment="1">
      <alignment horizontal="left" vertical="center"/>
    </xf>
    <xf numFmtId="0" fontId="1" fillId="7" borderId="1" xfId="0" applyFont="1" applyFill="1" applyBorder="1" applyAlignment="1">
      <alignment horizontal="center"/>
    </xf>
    <xf numFmtId="0" fontId="1" fillId="8" borderId="1" xfId="0" applyFont="1" applyFill="1" applyBorder="1" applyAlignment="1">
      <alignment horizontal="center"/>
    </xf>
    <xf numFmtId="9" fontId="1" fillId="3" borderId="2" xfId="0" applyNumberFormat="1" applyFont="1" applyFill="1" applyBorder="1" applyAlignment="1">
      <alignment horizontal="left"/>
    </xf>
    <xf numFmtId="9" fontId="1" fillId="3" borderId="3" xfId="0" applyNumberFormat="1" applyFont="1" applyFill="1" applyBorder="1" applyAlignment="1">
      <alignment horizontal="left"/>
    </xf>
    <xf numFmtId="9" fontId="1" fillId="3" borderId="4" xfId="0" applyNumberFormat="1" applyFont="1" applyFill="1" applyBorder="1" applyAlignment="1">
      <alignment horizontal="left"/>
    </xf>
    <xf numFmtId="0" fontId="6" fillId="7" borderId="2" xfId="0" applyFont="1" applyFill="1" applyBorder="1" applyAlignment="1">
      <alignment horizontal="center" vertical="center"/>
    </xf>
    <xf numFmtId="0" fontId="6" fillId="7" borderId="4" xfId="0" applyFont="1" applyFill="1" applyBorder="1" applyAlignment="1">
      <alignment horizontal="center" vertical="center"/>
    </xf>
    <xf numFmtId="0" fontId="6" fillId="7" borderId="1" xfId="0" applyFont="1" applyFill="1" applyBorder="1" applyAlignment="1">
      <alignment horizontal="center" vertical="center"/>
    </xf>
    <xf numFmtId="0" fontId="1" fillId="7" borderId="2" xfId="0" applyFont="1" applyFill="1" applyBorder="1" applyAlignment="1">
      <alignment horizontal="center" vertical="center"/>
    </xf>
    <xf numFmtId="0" fontId="1" fillId="7" borderId="4" xfId="0" applyFont="1" applyFill="1" applyBorder="1" applyAlignment="1">
      <alignment horizontal="center" vertical="center"/>
    </xf>
    <xf numFmtId="0" fontId="1" fillId="3" borderId="1" xfId="0" applyFont="1" applyFill="1" applyBorder="1" applyAlignment="1">
      <alignment horizontal="center"/>
    </xf>
    <xf numFmtId="0" fontId="1" fillId="6" borderId="1" xfId="0" applyFont="1" applyFill="1" applyBorder="1" applyAlignment="1">
      <alignment horizontal="center"/>
    </xf>
    <xf numFmtId="0" fontId="0" fillId="0" borderId="0" xfId="0" applyAlignment="1">
      <alignment horizontal="left" vertical="center" wrapText="1"/>
    </xf>
    <xf numFmtId="0" fontId="2" fillId="0" borderId="15" xfId="0" applyFont="1" applyBorder="1" applyAlignment="1">
      <alignment horizontal="center"/>
    </xf>
    <xf numFmtId="0" fontId="2" fillId="0" borderId="16" xfId="0" applyFont="1" applyBorder="1" applyAlignment="1">
      <alignment horizontal="center"/>
    </xf>
    <xf numFmtId="0" fontId="2" fillId="0" borderId="17" xfId="0" applyFont="1" applyBorder="1" applyAlignment="1">
      <alignment horizontal="center"/>
    </xf>
    <xf numFmtId="0" fontId="1" fillId="0" borderId="15" xfId="0" applyFont="1" applyBorder="1" applyAlignment="1">
      <alignment horizontal="center"/>
    </xf>
    <xf numFmtId="0" fontId="1" fillId="0" borderId="16" xfId="0" applyFont="1" applyBorder="1" applyAlignment="1">
      <alignment horizontal="center"/>
    </xf>
    <xf numFmtId="0" fontId="1" fillId="0" borderId="17" xfId="0" applyFont="1" applyBorder="1" applyAlignment="1">
      <alignment horizontal="center"/>
    </xf>
    <xf numFmtId="0" fontId="1" fillId="6" borderId="2" xfId="0" applyFont="1" applyFill="1" applyBorder="1" applyAlignment="1">
      <alignment horizontal="center"/>
    </xf>
    <xf numFmtId="0" fontId="1" fillId="6" borderId="4" xfId="0" applyFont="1" applyFill="1" applyBorder="1" applyAlignment="1">
      <alignment horizontal="center"/>
    </xf>
    <xf numFmtId="0" fontId="1" fillId="0" borderId="0" xfId="0" applyFont="1" applyAlignment="1">
      <alignment horizontal="center" vertical="center"/>
    </xf>
    <xf numFmtId="0" fontId="6" fillId="7" borderId="3" xfId="0" applyFont="1" applyFill="1" applyBorder="1" applyAlignment="1">
      <alignment horizontal="center" vertical="center"/>
    </xf>
    <xf numFmtId="0" fontId="0" fillId="0" borderId="0" xfId="0" applyAlignment="1">
      <alignment horizontal="left" wrapText="1"/>
    </xf>
    <xf numFmtId="0" fontId="28" fillId="0" borderId="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9" xfId="0" applyFont="1" applyBorder="1" applyAlignment="1">
      <alignment horizontal="center" vertical="center" wrapText="1"/>
    </xf>
    <xf numFmtId="0" fontId="28" fillId="0" borderId="14" xfId="0" applyFont="1" applyBorder="1" applyAlignment="1">
      <alignment horizontal="center" vertical="center" wrapText="1"/>
    </xf>
    <xf numFmtId="0" fontId="28" fillId="0" borderId="0" xfId="0" applyFont="1" applyAlignment="1">
      <alignment horizontal="center" vertical="center" wrapText="1"/>
    </xf>
    <xf numFmtId="0" fontId="28" fillId="0" borderId="45" xfId="0" applyFont="1" applyBorder="1" applyAlignment="1">
      <alignment horizontal="center" vertical="center" wrapText="1"/>
    </xf>
    <xf numFmtId="0" fontId="28" fillId="0" borderId="10" xfId="0" applyFont="1" applyBorder="1" applyAlignment="1">
      <alignment horizontal="center" vertical="center" wrapText="1"/>
    </xf>
    <xf numFmtId="0" fontId="28" fillId="0" borderId="13" xfId="0" applyFont="1" applyBorder="1" applyAlignment="1">
      <alignment horizontal="center" vertical="center" wrapText="1"/>
    </xf>
    <xf numFmtId="0" fontId="28" fillId="0" borderId="11" xfId="0" applyFont="1" applyBorder="1" applyAlignment="1">
      <alignment horizontal="center" vertical="center" wrapText="1"/>
    </xf>
    <xf numFmtId="1" fontId="40" fillId="23" borderId="66" xfId="0" applyNumberFormat="1" applyFont="1" applyFill="1" applyBorder="1" applyAlignment="1">
      <alignment horizontal="center" vertical="center"/>
    </xf>
    <xf numFmtId="1" fontId="40" fillId="34" borderId="1" xfId="0" applyNumberFormat="1" applyFont="1" applyFill="1" applyBorder="1" applyAlignment="1">
      <alignment horizontal="center" vertical="center"/>
    </xf>
  </cellXfs>
  <cellStyles count="4">
    <cellStyle name="Normal" xfId="0" builtinId="0"/>
    <cellStyle name="Normal 2" xfId="2" xr:uid="{00000000-0005-0000-0000-000001000000}"/>
    <cellStyle name="Normal 4" xfId="3" xr:uid="{00000000-0005-0000-0000-000002000000}"/>
    <cellStyle name="Percent" xfId="1" builtinId="5"/>
  </cellStyles>
  <dxfs count="1">
    <dxf>
      <font>
        <color rgb="FF9C0006"/>
      </font>
      <fill>
        <patternFill patternType="solid">
          <fgColor rgb="FFFFC7CE"/>
          <bgColor rgb="FFFFC7CE"/>
        </patternFill>
      </fill>
    </dxf>
  </dxfs>
  <tableStyles count="0" defaultTableStyle="TableStyleMedium2" defaultPivotStyle="PivotStyleMedium9"/>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sz="1400">
                <a:solidFill>
                  <a:srgbClr val="00B050"/>
                </a:solidFill>
              </a:defRPr>
            </a:pPr>
            <a:r>
              <a:rPr lang="en-IN" sz="1400" b="1" cap="none" spc="0">
                <a:ln/>
                <a:solidFill>
                  <a:srgbClr val="00B050"/>
                </a:solidFill>
                <a:effectLst/>
              </a:rPr>
              <a:t>Target Vs Attainment Values</a:t>
            </a:r>
          </a:p>
        </c:rich>
      </c:tx>
      <c:layout>
        <c:manualLayout>
          <c:xMode val="edge"/>
          <c:yMode val="edge"/>
          <c:x val="0.22060411198600177"/>
          <c:y val="5.4076328581243914E-2"/>
        </c:manualLayout>
      </c:layout>
      <c:overlay val="0"/>
      <c:spPr>
        <a:noFill/>
        <a:ln>
          <a:noFill/>
        </a:ln>
        <a:effectLst/>
      </c:spPr>
    </c:title>
    <c:autoTitleDeleted val="0"/>
    <c:plotArea>
      <c:layout/>
      <c:barChart>
        <c:barDir val="col"/>
        <c:grouping val="clustered"/>
        <c:varyColors val="0"/>
        <c:ser>
          <c:idx val="0"/>
          <c:order val="0"/>
          <c:tx>
            <c:v>Target</c:v>
          </c:tx>
          <c:spPr>
            <a:solidFill>
              <a:schemeClr val="accent1"/>
            </a:solidFill>
            <a:ln>
              <a:noFill/>
            </a:ln>
            <a:effectLst/>
          </c:spPr>
          <c:invertIfNegative val="0"/>
          <c:cat>
            <c:strRef>
              <c:f>'Action_Taken '!$B$24:$J$24</c:f>
              <c:strCache>
                <c:ptCount val="9"/>
                <c:pt idx="0">
                  <c:v>PO1</c:v>
                </c:pt>
                <c:pt idx="1">
                  <c:v>PO2</c:v>
                </c:pt>
                <c:pt idx="2">
                  <c:v>PO3</c:v>
                </c:pt>
                <c:pt idx="3">
                  <c:v>PO4</c:v>
                </c:pt>
                <c:pt idx="4">
                  <c:v>PO5</c:v>
                </c:pt>
                <c:pt idx="5">
                  <c:v>PO6</c:v>
                </c:pt>
                <c:pt idx="6">
                  <c:v>PO7</c:v>
                </c:pt>
                <c:pt idx="7">
                  <c:v>PSO1</c:v>
                </c:pt>
                <c:pt idx="8">
                  <c:v>PSO2</c:v>
                </c:pt>
              </c:strCache>
            </c:strRef>
          </c:cat>
          <c:val>
            <c:numRef>
              <c:f>'Action_Taken '!$B$25:$J$25</c:f>
              <c:numCache>
                <c:formatCode>0</c:formatCode>
                <c:ptCount val="9"/>
                <c:pt idx="0">
                  <c:v>1.6</c:v>
                </c:pt>
                <c:pt idx="1">
                  <c:v>1.6</c:v>
                </c:pt>
                <c:pt idx="2">
                  <c:v>1.6666666666666667</c:v>
                </c:pt>
                <c:pt idx="3">
                  <c:v>1.6666666666666667</c:v>
                </c:pt>
                <c:pt idx="4">
                  <c:v>1.5</c:v>
                </c:pt>
                <c:pt idx="5">
                  <c:v>1.5555555555555554</c:v>
                </c:pt>
                <c:pt idx="6">
                  <c:v>1</c:v>
                </c:pt>
                <c:pt idx="7">
                  <c:v>1</c:v>
                </c:pt>
              </c:numCache>
            </c:numRef>
          </c:val>
          <c:extLst>
            <c:ext xmlns:c16="http://schemas.microsoft.com/office/drawing/2014/chart" uri="{C3380CC4-5D6E-409C-BE32-E72D297353CC}">
              <c16:uniqueId val="{00000000-A385-4C81-8D85-1E6AF01511CB}"/>
            </c:ext>
          </c:extLst>
        </c:ser>
        <c:ser>
          <c:idx val="1"/>
          <c:order val="1"/>
          <c:tx>
            <c:v>Attainment</c:v>
          </c:tx>
          <c:spPr>
            <a:solidFill>
              <a:schemeClr val="accent2"/>
            </a:solidFill>
            <a:ln w="12700">
              <a:solidFill>
                <a:schemeClr val="tx1"/>
              </a:solidFill>
            </a:ln>
            <a:effectLst/>
          </c:spPr>
          <c:invertIfNegative val="0"/>
          <c:cat>
            <c:strRef>
              <c:f>'Action_Taken '!$B$24:$J$24</c:f>
              <c:strCache>
                <c:ptCount val="9"/>
                <c:pt idx="0">
                  <c:v>PO1</c:v>
                </c:pt>
                <c:pt idx="1">
                  <c:v>PO2</c:v>
                </c:pt>
                <c:pt idx="2">
                  <c:v>PO3</c:v>
                </c:pt>
                <c:pt idx="3">
                  <c:v>PO4</c:v>
                </c:pt>
                <c:pt idx="4">
                  <c:v>PO5</c:v>
                </c:pt>
                <c:pt idx="5">
                  <c:v>PO6</c:v>
                </c:pt>
                <c:pt idx="6">
                  <c:v>PO7</c:v>
                </c:pt>
                <c:pt idx="7">
                  <c:v>PSO1</c:v>
                </c:pt>
                <c:pt idx="8">
                  <c:v>PSO2</c:v>
                </c:pt>
              </c:strCache>
            </c:strRef>
          </c:cat>
          <c:val>
            <c:numRef>
              <c:f>'Action_Taken '!$B$26:$J$26</c:f>
              <c:numCache>
                <c:formatCode>0</c:formatCode>
                <c:ptCount val="9"/>
                <c:pt idx="0">
                  <c:v>1.2853333333333334</c:v>
                </c:pt>
                <c:pt idx="1">
                  <c:v>1.3311111111111111</c:v>
                </c:pt>
                <c:pt idx="2">
                  <c:v>1.1622222222222223</c:v>
                </c:pt>
                <c:pt idx="3">
                  <c:v>1.3525925925925926</c:v>
                </c:pt>
                <c:pt idx="4">
                  <c:v>1.288888888888889</c:v>
                </c:pt>
                <c:pt idx="5">
                  <c:v>0.94888888888888889</c:v>
                </c:pt>
                <c:pt idx="6">
                  <c:v>0.8</c:v>
                </c:pt>
                <c:pt idx="7">
                  <c:v>0.8</c:v>
                </c:pt>
              </c:numCache>
            </c:numRef>
          </c:val>
          <c:extLst>
            <c:ext xmlns:c16="http://schemas.microsoft.com/office/drawing/2014/chart" uri="{C3380CC4-5D6E-409C-BE32-E72D297353CC}">
              <c16:uniqueId val="{00000001-A385-4C81-8D85-1E6AF01511CB}"/>
            </c:ext>
          </c:extLst>
        </c:ser>
        <c:dLbls>
          <c:showLegendKey val="0"/>
          <c:showVal val="0"/>
          <c:showCatName val="0"/>
          <c:showSerName val="0"/>
          <c:showPercent val="0"/>
          <c:showBubbleSize val="0"/>
        </c:dLbls>
        <c:gapWidth val="219"/>
        <c:overlap val="-27"/>
        <c:axId val="306806224"/>
        <c:axId val="309211024"/>
      </c:barChart>
      <c:catAx>
        <c:axId val="306806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309211024"/>
        <c:crosses val="autoZero"/>
        <c:auto val="1"/>
        <c:lblAlgn val="ctr"/>
        <c:lblOffset val="100"/>
        <c:noMultiLvlLbl val="0"/>
      </c:catAx>
      <c:valAx>
        <c:axId val="309211024"/>
        <c:scaling>
          <c:orientation val="minMax"/>
        </c:scaling>
        <c:delete val="0"/>
        <c:axPos val="l"/>
        <c:majorGridlines>
          <c:spPr>
            <a:ln w="6350"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vert="horz"/>
          <a:lstStyle/>
          <a:p>
            <a:pPr>
              <a:defRPr/>
            </a:pPr>
            <a:endParaRPr lang="en-US"/>
          </a:p>
        </c:txPr>
        <c:crossAx val="306806224"/>
        <c:crosses val="autoZero"/>
        <c:crossBetween val="between"/>
      </c:valAx>
      <c:spPr>
        <a:noFill/>
        <a:ln>
          <a:noFill/>
        </a:ln>
        <a:effectLst/>
      </c:spPr>
    </c:plotArea>
    <c:legend>
      <c:legendPos val="b"/>
      <c:overlay val="0"/>
      <c:spPr>
        <a:noFill/>
        <a:ln>
          <a:noFill/>
        </a:ln>
        <a:effectLst/>
      </c:spPr>
      <c:txPr>
        <a:bodyPr rot="0" vert="horz"/>
        <a:lstStyle/>
        <a:p>
          <a:pPr>
            <a:defRPr/>
          </a:pPr>
          <a:endParaRPr lang="en-US"/>
        </a:p>
      </c:txPr>
    </c:legend>
    <c:plotVisOnly val="1"/>
    <c:dispBlanksAs val="gap"/>
    <c:showDLblsOverMax val="0"/>
  </c:chart>
  <c:spPr>
    <a:solidFill>
      <a:schemeClr val="lt1"/>
    </a:solidFill>
    <a:ln w="635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000000000000056" l="0.70000000000000051" r="0.70000000000000051" t="0.75000000000000056" header="0.30000000000000027" footer="0.30000000000000027"/>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B050"/>
                </a:solidFill>
                <a:latin typeface="+mn-lt"/>
                <a:ea typeface="+mn-ea"/>
                <a:cs typeface="+mn-cs"/>
              </a:defRPr>
            </a:pPr>
            <a:r>
              <a:rPr lang="en-IN" b="1">
                <a:solidFill>
                  <a:srgbClr val="00B050"/>
                </a:solidFill>
              </a:rPr>
              <a:t>CO-wise Final Attainment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B050"/>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val>
            <c:numRef>
              <c:f>CO_Attainment!$AW$5:$AW$9</c:f>
              <c:numCache>
                <c:formatCode>0.00</c:formatCode>
                <c:ptCount val="5"/>
                <c:pt idx="0">
                  <c:v>2.5999999999999996</c:v>
                </c:pt>
                <c:pt idx="1">
                  <c:v>2.2800000000000002</c:v>
                </c:pt>
                <c:pt idx="2">
                  <c:v>2.48</c:v>
                </c:pt>
                <c:pt idx="3">
                  <c:v>2.2800000000000002</c:v>
                </c:pt>
                <c:pt idx="4">
                  <c:v>2.36</c:v>
                </c:pt>
              </c:numCache>
            </c:numRef>
          </c:val>
          <c:extLst>
            <c:ext xmlns:c16="http://schemas.microsoft.com/office/drawing/2014/chart" uri="{C3380CC4-5D6E-409C-BE32-E72D297353CC}">
              <c16:uniqueId val="{00000000-5B83-4A21-90BA-757B9555842E}"/>
            </c:ext>
          </c:extLst>
        </c:ser>
        <c:dLbls>
          <c:showLegendKey val="0"/>
          <c:showVal val="0"/>
          <c:showCatName val="0"/>
          <c:showSerName val="0"/>
          <c:showPercent val="0"/>
          <c:showBubbleSize val="0"/>
        </c:dLbls>
        <c:gapWidth val="219"/>
        <c:overlap val="-27"/>
        <c:axId val="2025333040"/>
        <c:axId val="1904417424"/>
      </c:barChart>
      <c:catAx>
        <c:axId val="2025333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417424"/>
        <c:crosses val="autoZero"/>
        <c:auto val="1"/>
        <c:lblAlgn val="ctr"/>
        <c:lblOffset val="100"/>
        <c:noMultiLvlLbl val="0"/>
      </c:catAx>
      <c:valAx>
        <c:axId val="1904417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Final Attainment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333040"/>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tx1"/>
      </a:solidFill>
      <a:prstDash val="solid"/>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col"/>
        <c:grouping val="clustered"/>
        <c:varyColors val="0"/>
        <c:ser>
          <c:idx val="0"/>
          <c:order val="0"/>
          <c:tx>
            <c:strRef>
              <c:f>ATTAINMENT!$A$21</c:f>
              <c:strCache>
                <c:ptCount val="1"/>
                <c:pt idx="0">
                  <c:v>Final CO-PO Attainment for Course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val>
            <c:numRef>
              <c:f>ATTAINMENT!$B$30:$M$30</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CE82-4A56-B6EC-0E77B0046B9B}"/>
            </c:ext>
          </c:extLst>
        </c:ser>
        <c:ser>
          <c:idx val="1"/>
          <c:order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val>
            <c:numRef>
              <c:f>CO_PO_Mapping!$V$14:$AI$14</c:f>
            </c:numRef>
          </c:val>
          <c:extLst>
            <c:ext xmlns:c16="http://schemas.microsoft.com/office/drawing/2014/chart" uri="{C3380CC4-5D6E-409C-BE32-E72D297353CC}">
              <c16:uniqueId val="{00000001-CE82-4A56-B6EC-0E77B0046B9B}"/>
            </c:ext>
          </c:extLst>
        </c:ser>
        <c:dLbls>
          <c:showLegendKey val="0"/>
          <c:showVal val="1"/>
          <c:showCatName val="0"/>
          <c:showSerName val="0"/>
          <c:showPercent val="0"/>
          <c:showBubbleSize val="0"/>
        </c:dLbls>
        <c:gapWidth val="100"/>
        <c:overlap val="-24"/>
        <c:axId val="306843480"/>
        <c:axId val="312374208"/>
      </c:barChart>
      <c:catAx>
        <c:axId val="306843480"/>
        <c:scaling>
          <c:orientation val="minMax"/>
        </c:scaling>
        <c:delete val="0"/>
        <c:axPos val="b"/>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12374208"/>
        <c:crosses val="autoZero"/>
        <c:auto val="1"/>
        <c:lblAlgn val="ctr"/>
        <c:lblOffset val="100"/>
        <c:noMultiLvlLbl val="0"/>
      </c:catAx>
      <c:valAx>
        <c:axId val="312374208"/>
        <c:scaling>
          <c:orientation val="minMax"/>
          <c:max val="3"/>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06843480"/>
        <c:crosses val="autoZero"/>
        <c:crossBetween val="between"/>
      </c:valAx>
      <c:spPr>
        <a:noFill/>
        <a:ln>
          <a:noFill/>
        </a:ln>
        <a:effectLst/>
      </c:spPr>
    </c:plotArea>
    <c:plotVisOnly val="1"/>
    <c:dispBlanksAs val="gap"/>
    <c:showDLblsOverMax val="0"/>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000000000000056" l="0.70000000000000051" r="0.70000000000000051" t="0.75000000000000056" header="0.30000000000000027" footer="0.30000000000000027"/>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col"/>
        <c:grouping val="clustered"/>
        <c:varyColors val="0"/>
        <c:ser>
          <c:idx val="0"/>
          <c:order val="0"/>
          <c:tx>
            <c:v>Final CO PSO Attainment</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val>
            <c:numRef>
              <c:f>ATTAINMENT!$N$30:$O$30</c:f>
              <c:numCache>
                <c:formatCode>0.00</c:formatCode>
                <c:ptCount val="2"/>
                <c:pt idx="0">
                  <c:v>0</c:v>
                </c:pt>
                <c:pt idx="1">
                  <c:v>0</c:v>
                </c:pt>
              </c:numCache>
            </c:numRef>
          </c:val>
          <c:extLst>
            <c:ext xmlns:c16="http://schemas.microsoft.com/office/drawing/2014/chart" uri="{C3380CC4-5D6E-409C-BE32-E72D297353CC}">
              <c16:uniqueId val="{00000000-B2DB-4011-8677-2D8FAF7D7831}"/>
            </c:ext>
          </c:extLst>
        </c:ser>
        <c:ser>
          <c:idx val="1"/>
          <c:order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val>
            <c:numRef>
              <c:f>CO_PO_Mapping!$AJ$14:$AK$14</c:f>
            </c:numRef>
          </c:val>
          <c:extLst>
            <c:ext xmlns:c16="http://schemas.microsoft.com/office/drawing/2014/chart" uri="{C3380CC4-5D6E-409C-BE32-E72D297353CC}">
              <c16:uniqueId val="{00000001-B2DB-4011-8677-2D8FAF7D7831}"/>
            </c:ext>
          </c:extLst>
        </c:ser>
        <c:dLbls>
          <c:showLegendKey val="0"/>
          <c:showVal val="1"/>
          <c:showCatName val="0"/>
          <c:showSerName val="0"/>
          <c:showPercent val="0"/>
          <c:showBubbleSize val="0"/>
        </c:dLbls>
        <c:gapWidth val="100"/>
        <c:overlap val="-24"/>
        <c:axId val="307428208"/>
        <c:axId val="307429776"/>
      </c:barChart>
      <c:catAx>
        <c:axId val="307428208"/>
        <c:scaling>
          <c:orientation val="minMax"/>
        </c:scaling>
        <c:delete val="0"/>
        <c:axPos val="b"/>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07429776"/>
        <c:crosses val="autoZero"/>
        <c:auto val="1"/>
        <c:lblAlgn val="ctr"/>
        <c:lblOffset val="100"/>
        <c:noMultiLvlLbl val="0"/>
      </c:catAx>
      <c:valAx>
        <c:axId val="307429776"/>
        <c:scaling>
          <c:orientation val="minMax"/>
          <c:max val="3"/>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07428208"/>
        <c:crosses val="autoZero"/>
        <c:crossBetween val="between"/>
      </c:valAx>
      <c:spPr>
        <a:noFill/>
        <a:ln>
          <a:noFill/>
        </a:ln>
        <a:effectLst/>
      </c:spPr>
    </c:plotArea>
    <c:plotVisOnly val="1"/>
    <c:dispBlanksAs val="gap"/>
    <c:showDLblsOverMax val="0"/>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000000000000056" l="0.70000000000000051" r="0.70000000000000051" t="0.75000000000000056" header="0.30000000000000027" footer="0.30000000000000027"/>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13</xdr:col>
      <xdr:colOff>0</xdr:colOff>
      <xdr:row>12</xdr:row>
      <xdr:rowOff>53915</xdr:rowOff>
    </xdr:from>
    <xdr:ext cx="184731" cy="264560"/>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4933950"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53915</xdr:rowOff>
    </xdr:from>
    <xdr:ext cx="184731" cy="264560"/>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4933950"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53915</xdr:rowOff>
    </xdr:from>
    <xdr:ext cx="184731" cy="264560"/>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4933950"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0</xdr:rowOff>
    </xdr:from>
    <xdr:ext cx="184731" cy="264560"/>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4933950" y="1838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53915</xdr:rowOff>
    </xdr:from>
    <xdr:ext cx="184731" cy="264560"/>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4933950"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11</xdr:row>
      <xdr:rowOff>53915</xdr:rowOff>
    </xdr:from>
    <xdr:ext cx="184731" cy="264560"/>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4933950" y="16922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11</xdr:row>
      <xdr:rowOff>53915</xdr:rowOff>
    </xdr:from>
    <xdr:ext cx="184731" cy="264560"/>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4933950" y="16922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11</xdr:row>
      <xdr:rowOff>53915</xdr:rowOff>
    </xdr:from>
    <xdr:ext cx="184731" cy="264560"/>
    <xdr:sp macro="" textlink="">
      <xdr:nvSpPr>
        <xdr:cNvPr id="9" name="TextBox 8">
          <a:extLst>
            <a:ext uri="{FF2B5EF4-FFF2-40B4-BE49-F238E27FC236}">
              <a16:creationId xmlns:a16="http://schemas.microsoft.com/office/drawing/2014/main" id="{00000000-0008-0000-0100-000009000000}"/>
            </a:ext>
          </a:extLst>
        </xdr:cNvPr>
        <xdr:cNvSpPr txBox="1"/>
      </xdr:nvSpPr>
      <xdr:spPr>
        <a:xfrm>
          <a:off x="4933950" y="16922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11</xdr:row>
      <xdr:rowOff>0</xdr:rowOff>
    </xdr:from>
    <xdr:ext cx="184731" cy="264560"/>
    <xdr:sp macro="" textlink="">
      <xdr:nvSpPr>
        <xdr:cNvPr id="10" name="TextBox 9">
          <a:extLst>
            <a:ext uri="{FF2B5EF4-FFF2-40B4-BE49-F238E27FC236}">
              <a16:creationId xmlns:a16="http://schemas.microsoft.com/office/drawing/2014/main" id="{00000000-0008-0000-0100-00000A000000}"/>
            </a:ext>
          </a:extLst>
        </xdr:cNvPr>
        <xdr:cNvSpPr txBox="1"/>
      </xdr:nvSpPr>
      <xdr:spPr>
        <a:xfrm>
          <a:off x="4933950" y="163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11</xdr:row>
      <xdr:rowOff>53915</xdr:rowOff>
    </xdr:from>
    <xdr:ext cx="184731" cy="264560"/>
    <xdr:sp macro="" textlink="">
      <xdr:nvSpPr>
        <xdr:cNvPr id="11" name="TextBox 10">
          <a:extLst>
            <a:ext uri="{FF2B5EF4-FFF2-40B4-BE49-F238E27FC236}">
              <a16:creationId xmlns:a16="http://schemas.microsoft.com/office/drawing/2014/main" id="{00000000-0008-0000-0100-00000B000000}"/>
            </a:ext>
          </a:extLst>
        </xdr:cNvPr>
        <xdr:cNvSpPr txBox="1"/>
      </xdr:nvSpPr>
      <xdr:spPr>
        <a:xfrm>
          <a:off x="4933950" y="16922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53915</xdr:rowOff>
    </xdr:from>
    <xdr:ext cx="184731" cy="264560"/>
    <xdr:sp macro="" textlink="">
      <xdr:nvSpPr>
        <xdr:cNvPr id="12" name="TextBox 11">
          <a:extLst>
            <a:ext uri="{FF2B5EF4-FFF2-40B4-BE49-F238E27FC236}">
              <a16:creationId xmlns:a16="http://schemas.microsoft.com/office/drawing/2014/main" id="{00000000-0008-0000-0100-00000C000000}"/>
            </a:ext>
          </a:extLst>
        </xdr:cNvPr>
        <xdr:cNvSpPr txBox="1"/>
      </xdr:nvSpPr>
      <xdr:spPr>
        <a:xfrm>
          <a:off x="4933950"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53915</xdr:rowOff>
    </xdr:from>
    <xdr:ext cx="184731" cy="264560"/>
    <xdr:sp macro="" textlink="">
      <xdr:nvSpPr>
        <xdr:cNvPr id="13" name="TextBox 12">
          <a:extLst>
            <a:ext uri="{FF2B5EF4-FFF2-40B4-BE49-F238E27FC236}">
              <a16:creationId xmlns:a16="http://schemas.microsoft.com/office/drawing/2014/main" id="{00000000-0008-0000-0100-00000D000000}"/>
            </a:ext>
          </a:extLst>
        </xdr:cNvPr>
        <xdr:cNvSpPr txBox="1"/>
      </xdr:nvSpPr>
      <xdr:spPr>
        <a:xfrm>
          <a:off x="4933950"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53915</xdr:rowOff>
    </xdr:from>
    <xdr:ext cx="184731" cy="264560"/>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4933950"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0</xdr:rowOff>
    </xdr:from>
    <xdr:ext cx="184731" cy="264560"/>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4933950" y="1838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53915</xdr:rowOff>
    </xdr:from>
    <xdr:ext cx="184731" cy="264560"/>
    <xdr:sp macro="" textlink="">
      <xdr:nvSpPr>
        <xdr:cNvPr id="16" name="TextBox 15">
          <a:extLst>
            <a:ext uri="{FF2B5EF4-FFF2-40B4-BE49-F238E27FC236}">
              <a16:creationId xmlns:a16="http://schemas.microsoft.com/office/drawing/2014/main" id="{00000000-0008-0000-0100-000010000000}"/>
            </a:ext>
          </a:extLst>
        </xdr:cNvPr>
        <xdr:cNvSpPr txBox="1"/>
      </xdr:nvSpPr>
      <xdr:spPr>
        <a:xfrm>
          <a:off x="4933950"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11</xdr:row>
      <xdr:rowOff>53915</xdr:rowOff>
    </xdr:from>
    <xdr:ext cx="184731" cy="264560"/>
    <xdr:sp macro="" textlink="">
      <xdr:nvSpPr>
        <xdr:cNvPr id="17" name="TextBox 16">
          <a:extLst>
            <a:ext uri="{FF2B5EF4-FFF2-40B4-BE49-F238E27FC236}">
              <a16:creationId xmlns:a16="http://schemas.microsoft.com/office/drawing/2014/main" id="{00000000-0008-0000-0100-000011000000}"/>
            </a:ext>
          </a:extLst>
        </xdr:cNvPr>
        <xdr:cNvSpPr txBox="1"/>
      </xdr:nvSpPr>
      <xdr:spPr>
        <a:xfrm>
          <a:off x="4933950" y="16922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11</xdr:row>
      <xdr:rowOff>53915</xdr:rowOff>
    </xdr:from>
    <xdr:ext cx="184731" cy="264560"/>
    <xdr:sp macro="" textlink="">
      <xdr:nvSpPr>
        <xdr:cNvPr id="18" name="TextBox 17">
          <a:extLst>
            <a:ext uri="{FF2B5EF4-FFF2-40B4-BE49-F238E27FC236}">
              <a16:creationId xmlns:a16="http://schemas.microsoft.com/office/drawing/2014/main" id="{00000000-0008-0000-0100-000012000000}"/>
            </a:ext>
          </a:extLst>
        </xdr:cNvPr>
        <xdr:cNvSpPr txBox="1"/>
      </xdr:nvSpPr>
      <xdr:spPr>
        <a:xfrm>
          <a:off x="4933950" y="16922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11</xdr:row>
      <xdr:rowOff>53915</xdr:rowOff>
    </xdr:from>
    <xdr:ext cx="184731" cy="264560"/>
    <xdr:sp macro="" textlink="">
      <xdr:nvSpPr>
        <xdr:cNvPr id="19" name="TextBox 18">
          <a:extLst>
            <a:ext uri="{FF2B5EF4-FFF2-40B4-BE49-F238E27FC236}">
              <a16:creationId xmlns:a16="http://schemas.microsoft.com/office/drawing/2014/main" id="{00000000-0008-0000-0100-000013000000}"/>
            </a:ext>
          </a:extLst>
        </xdr:cNvPr>
        <xdr:cNvSpPr txBox="1"/>
      </xdr:nvSpPr>
      <xdr:spPr>
        <a:xfrm>
          <a:off x="4933950" y="16922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11</xdr:row>
      <xdr:rowOff>0</xdr:rowOff>
    </xdr:from>
    <xdr:ext cx="184731" cy="264560"/>
    <xdr:sp macro="" textlink="">
      <xdr:nvSpPr>
        <xdr:cNvPr id="20" name="TextBox 19">
          <a:extLst>
            <a:ext uri="{FF2B5EF4-FFF2-40B4-BE49-F238E27FC236}">
              <a16:creationId xmlns:a16="http://schemas.microsoft.com/office/drawing/2014/main" id="{00000000-0008-0000-0100-000014000000}"/>
            </a:ext>
          </a:extLst>
        </xdr:cNvPr>
        <xdr:cNvSpPr txBox="1"/>
      </xdr:nvSpPr>
      <xdr:spPr>
        <a:xfrm>
          <a:off x="4933950" y="163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11</xdr:row>
      <xdr:rowOff>53915</xdr:rowOff>
    </xdr:from>
    <xdr:ext cx="184731" cy="264560"/>
    <xdr:sp macro="" textlink="">
      <xdr:nvSpPr>
        <xdr:cNvPr id="21" name="TextBox 20">
          <a:extLst>
            <a:ext uri="{FF2B5EF4-FFF2-40B4-BE49-F238E27FC236}">
              <a16:creationId xmlns:a16="http://schemas.microsoft.com/office/drawing/2014/main" id="{00000000-0008-0000-0100-000015000000}"/>
            </a:ext>
          </a:extLst>
        </xdr:cNvPr>
        <xdr:cNvSpPr txBox="1"/>
      </xdr:nvSpPr>
      <xdr:spPr>
        <a:xfrm>
          <a:off x="4933950" y="16922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53915</xdr:rowOff>
    </xdr:from>
    <xdr:ext cx="184731" cy="264560"/>
    <xdr:sp macro="" textlink="">
      <xdr:nvSpPr>
        <xdr:cNvPr id="22" name="TextBox 21">
          <a:extLst>
            <a:ext uri="{FF2B5EF4-FFF2-40B4-BE49-F238E27FC236}">
              <a16:creationId xmlns:a16="http://schemas.microsoft.com/office/drawing/2014/main" id="{00000000-0008-0000-0100-000016000000}"/>
            </a:ext>
          </a:extLst>
        </xdr:cNvPr>
        <xdr:cNvSpPr txBox="1"/>
      </xdr:nvSpPr>
      <xdr:spPr>
        <a:xfrm>
          <a:off x="4933950"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53915</xdr:rowOff>
    </xdr:from>
    <xdr:ext cx="184731" cy="264560"/>
    <xdr:sp macro="" textlink="">
      <xdr:nvSpPr>
        <xdr:cNvPr id="23" name="TextBox 22">
          <a:extLst>
            <a:ext uri="{FF2B5EF4-FFF2-40B4-BE49-F238E27FC236}">
              <a16:creationId xmlns:a16="http://schemas.microsoft.com/office/drawing/2014/main" id="{00000000-0008-0000-0100-000017000000}"/>
            </a:ext>
          </a:extLst>
        </xdr:cNvPr>
        <xdr:cNvSpPr txBox="1"/>
      </xdr:nvSpPr>
      <xdr:spPr>
        <a:xfrm>
          <a:off x="4933950"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53915</xdr:rowOff>
    </xdr:from>
    <xdr:ext cx="184731" cy="264560"/>
    <xdr:sp macro="" textlink="">
      <xdr:nvSpPr>
        <xdr:cNvPr id="24" name="TextBox 23">
          <a:extLst>
            <a:ext uri="{FF2B5EF4-FFF2-40B4-BE49-F238E27FC236}">
              <a16:creationId xmlns:a16="http://schemas.microsoft.com/office/drawing/2014/main" id="{00000000-0008-0000-0100-000018000000}"/>
            </a:ext>
          </a:extLst>
        </xdr:cNvPr>
        <xdr:cNvSpPr txBox="1"/>
      </xdr:nvSpPr>
      <xdr:spPr>
        <a:xfrm>
          <a:off x="4933950"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0</xdr:rowOff>
    </xdr:from>
    <xdr:ext cx="184731" cy="264560"/>
    <xdr:sp macro="" textlink="">
      <xdr:nvSpPr>
        <xdr:cNvPr id="25" name="TextBox 24">
          <a:extLst>
            <a:ext uri="{FF2B5EF4-FFF2-40B4-BE49-F238E27FC236}">
              <a16:creationId xmlns:a16="http://schemas.microsoft.com/office/drawing/2014/main" id="{00000000-0008-0000-0100-000019000000}"/>
            </a:ext>
          </a:extLst>
        </xdr:cNvPr>
        <xdr:cNvSpPr txBox="1"/>
      </xdr:nvSpPr>
      <xdr:spPr>
        <a:xfrm>
          <a:off x="4933950" y="1838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53915</xdr:rowOff>
    </xdr:from>
    <xdr:ext cx="184731" cy="264560"/>
    <xdr:sp macro="" textlink="">
      <xdr:nvSpPr>
        <xdr:cNvPr id="26" name="TextBox 25">
          <a:extLst>
            <a:ext uri="{FF2B5EF4-FFF2-40B4-BE49-F238E27FC236}">
              <a16:creationId xmlns:a16="http://schemas.microsoft.com/office/drawing/2014/main" id="{00000000-0008-0000-0100-00001A000000}"/>
            </a:ext>
          </a:extLst>
        </xdr:cNvPr>
        <xdr:cNvSpPr txBox="1"/>
      </xdr:nvSpPr>
      <xdr:spPr>
        <a:xfrm>
          <a:off x="4933950"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11</xdr:row>
      <xdr:rowOff>53915</xdr:rowOff>
    </xdr:from>
    <xdr:ext cx="184731" cy="264560"/>
    <xdr:sp macro="" textlink="">
      <xdr:nvSpPr>
        <xdr:cNvPr id="27" name="TextBox 26">
          <a:extLst>
            <a:ext uri="{FF2B5EF4-FFF2-40B4-BE49-F238E27FC236}">
              <a16:creationId xmlns:a16="http://schemas.microsoft.com/office/drawing/2014/main" id="{00000000-0008-0000-0100-00001B000000}"/>
            </a:ext>
          </a:extLst>
        </xdr:cNvPr>
        <xdr:cNvSpPr txBox="1"/>
      </xdr:nvSpPr>
      <xdr:spPr>
        <a:xfrm>
          <a:off x="4933950" y="16922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11</xdr:row>
      <xdr:rowOff>53915</xdr:rowOff>
    </xdr:from>
    <xdr:ext cx="184731" cy="264560"/>
    <xdr:sp macro="" textlink="">
      <xdr:nvSpPr>
        <xdr:cNvPr id="28" name="TextBox 27">
          <a:extLst>
            <a:ext uri="{FF2B5EF4-FFF2-40B4-BE49-F238E27FC236}">
              <a16:creationId xmlns:a16="http://schemas.microsoft.com/office/drawing/2014/main" id="{00000000-0008-0000-0100-00001C000000}"/>
            </a:ext>
          </a:extLst>
        </xdr:cNvPr>
        <xdr:cNvSpPr txBox="1"/>
      </xdr:nvSpPr>
      <xdr:spPr>
        <a:xfrm>
          <a:off x="4933950" y="16922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11</xdr:row>
      <xdr:rowOff>53915</xdr:rowOff>
    </xdr:from>
    <xdr:ext cx="184731" cy="264560"/>
    <xdr:sp macro="" textlink="">
      <xdr:nvSpPr>
        <xdr:cNvPr id="29" name="TextBox 28">
          <a:extLst>
            <a:ext uri="{FF2B5EF4-FFF2-40B4-BE49-F238E27FC236}">
              <a16:creationId xmlns:a16="http://schemas.microsoft.com/office/drawing/2014/main" id="{00000000-0008-0000-0100-00001D000000}"/>
            </a:ext>
          </a:extLst>
        </xdr:cNvPr>
        <xdr:cNvSpPr txBox="1"/>
      </xdr:nvSpPr>
      <xdr:spPr>
        <a:xfrm>
          <a:off x="4933950" y="16922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11</xdr:row>
      <xdr:rowOff>0</xdr:rowOff>
    </xdr:from>
    <xdr:ext cx="184731" cy="264560"/>
    <xdr:sp macro="" textlink="">
      <xdr:nvSpPr>
        <xdr:cNvPr id="30" name="TextBox 29">
          <a:extLst>
            <a:ext uri="{FF2B5EF4-FFF2-40B4-BE49-F238E27FC236}">
              <a16:creationId xmlns:a16="http://schemas.microsoft.com/office/drawing/2014/main" id="{00000000-0008-0000-0100-00001E000000}"/>
            </a:ext>
          </a:extLst>
        </xdr:cNvPr>
        <xdr:cNvSpPr txBox="1"/>
      </xdr:nvSpPr>
      <xdr:spPr>
        <a:xfrm>
          <a:off x="4933950" y="163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11</xdr:row>
      <xdr:rowOff>53915</xdr:rowOff>
    </xdr:from>
    <xdr:ext cx="184731" cy="264560"/>
    <xdr:sp macro="" textlink="">
      <xdr:nvSpPr>
        <xdr:cNvPr id="31" name="TextBox 30">
          <a:extLst>
            <a:ext uri="{FF2B5EF4-FFF2-40B4-BE49-F238E27FC236}">
              <a16:creationId xmlns:a16="http://schemas.microsoft.com/office/drawing/2014/main" id="{00000000-0008-0000-0100-00001F000000}"/>
            </a:ext>
          </a:extLst>
        </xdr:cNvPr>
        <xdr:cNvSpPr txBox="1"/>
      </xdr:nvSpPr>
      <xdr:spPr>
        <a:xfrm>
          <a:off x="4933950" y="16922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53915</xdr:rowOff>
    </xdr:from>
    <xdr:ext cx="184731" cy="264560"/>
    <xdr:sp macro="" textlink="">
      <xdr:nvSpPr>
        <xdr:cNvPr id="32" name="TextBox 31">
          <a:extLst>
            <a:ext uri="{FF2B5EF4-FFF2-40B4-BE49-F238E27FC236}">
              <a16:creationId xmlns:a16="http://schemas.microsoft.com/office/drawing/2014/main" id="{00000000-0008-0000-0100-000020000000}"/>
            </a:ext>
          </a:extLst>
        </xdr:cNvPr>
        <xdr:cNvSpPr txBox="1"/>
      </xdr:nvSpPr>
      <xdr:spPr>
        <a:xfrm>
          <a:off x="4933950"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53915</xdr:rowOff>
    </xdr:from>
    <xdr:ext cx="184731" cy="264560"/>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4933950"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53915</xdr:rowOff>
    </xdr:from>
    <xdr:ext cx="184731" cy="264560"/>
    <xdr:sp macro="" textlink="">
      <xdr:nvSpPr>
        <xdr:cNvPr id="34" name="TextBox 33">
          <a:extLst>
            <a:ext uri="{FF2B5EF4-FFF2-40B4-BE49-F238E27FC236}">
              <a16:creationId xmlns:a16="http://schemas.microsoft.com/office/drawing/2014/main" id="{00000000-0008-0000-0100-000022000000}"/>
            </a:ext>
          </a:extLst>
        </xdr:cNvPr>
        <xdr:cNvSpPr txBox="1"/>
      </xdr:nvSpPr>
      <xdr:spPr>
        <a:xfrm>
          <a:off x="4933950"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0</xdr:rowOff>
    </xdr:from>
    <xdr:ext cx="184731" cy="264560"/>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4933950" y="1838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53915</xdr:rowOff>
    </xdr:from>
    <xdr:ext cx="184731" cy="264560"/>
    <xdr:sp macro="" textlink="">
      <xdr:nvSpPr>
        <xdr:cNvPr id="36" name="TextBox 35">
          <a:extLst>
            <a:ext uri="{FF2B5EF4-FFF2-40B4-BE49-F238E27FC236}">
              <a16:creationId xmlns:a16="http://schemas.microsoft.com/office/drawing/2014/main" id="{00000000-0008-0000-0100-000024000000}"/>
            </a:ext>
          </a:extLst>
        </xdr:cNvPr>
        <xdr:cNvSpPr txBox="1"/>
      </xdr:nvSpPr>
      <xdr:spPr>
        <a:xfrm>
          <a:off x="4933950"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15</xdr:row>
      <xdr:rowOff>53915</xdr:rowOff>
    </xdr:from>
    <xdr:ext cx="184731" cy="264560"/>
    <xdr:sp macro="" textlink="">
      <xdr:nvSpPr>
        <xdr:cNvPr id="37" name="TextBox 36">
          <a:extLst>
            <a:ext uri="{FF2B5EF4-FFF2-40B4-BE49-F238E27FC236}">
              <a16:creationId xmlns:a16="http://schemas.microsoft.com/office/drawing/2014/main" id="{00000000-0008-0000-0100-000025000000}"/>
            </a:ext>
          </a:extLst>
        </xdr:cNvPr>
        <xdr:cNvSpPr txBox="1"/>
      </xdr:nvSpPr>
      <xdr:spPr>
        <a:xfrm>
          <a:off x="6075153" y="24923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15</xdr:row>
      <xdr:rowOff>53915</xdr:rowOff>
    </xdr:from>
    <xdr:ext cx="184731" cy="264560"/>
    <xdr:sp macro="" textlink="">
      <xdr:nvSpPr>
        <xdr:cNvPr id="38" name="TextBox 37">
          <a:extLst>
            <a:ext uri="{FF2B5EF4-FFF2-40B4-BE49-F238E27FC236}">
              <a16:creationId xmlns:a16="http://schemas.microsoft.com/office/drawing/2014/main" id="{00000000-0008-0000-0100-000026000000}"/>
            </a:ext>
          </a:extLst>
        </xdr:cNvPr>
        <xdr:cNvSpPr txBox="1"/>
      </xdr:nvSpPr>
      <xdr:spPr>
        <a:xfrm>
          <a:off x="6075153" y="24923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15</xdr:row>
      <xdr:rowOff>53915</xdr:rowOff>
    </xdr:from>
    <xdr:ext cx="184731" cy="264560"/>
    <xdr:sp macro="" textlink="">
      <xdr:nvSpPr>
        <xdr:cNvPr id="39" name="TextBox 38">
          <a:extLst>
            <a:ext uri="{FF2B5EF4-FFF2-40B4-BE49-F238E27FC236}">
              <a16:creationId xmlns:a16="http://schemas.microsoft.com/office/drawing/2014/main" id="{00000000-0008-0000-0100-000027000000}"/>
            </a:ext>
          </a:extLst>
        </xdr:cNvPr>
        <xdr:cNvSpPr txBox="1"/>
      </xdr:nvSpPr>
      <xdr:spPr>
        <a:xfrm>
          <a:off x="6075153" y="24923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15</xdr:row>
      <xdr:rowOff>0</xdr:rowOff>
    </xdr:from>
    <xdr:ext cx="184731" cy="264560"/>
    <xdr:sp macro="" textlink="">
      <xdr:nvSpPr>
        <xdr:cNvPr id="40" name="TextBox 39">
          <a:extLst>
            <a:ext uri="{FF2B5EF4-FFF2-40B4-BE49-F238E27FC236}">
              <a16:creationId xmlns:a16="http://schemas.microsoft.com/office/drawing/2014/main" id="{00000000-0008-0000-0100-000028000000}"/>
            </a:ext>
          </a:extLst>
        </xdr:cNvPr>
        <xdr:cNvSpPr txBox="1"/>
      </xdr:nvSpPr>
      <xdr:spPr>
        <a:xfrm>
          <a:off x="6075153" y="243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15</xdr:row>
      <xdr:rowOff>53915</xdr:rowOff>
    </xdr:from>
    <xdr:ext cx="184731" cy="264560"/>
    <xdr:sp macro="" textlink="">
      <xdr:nvSpPr>
        <xdr:cNvPr id="41" name="TextBox 40">
          <a:extLst>
            <a:ext uri="{FF2B5EF4-FFF2-40B4-BE49-F238E27FC236}">
              <a16:creationId xmlns:a16="http://schemas.microsoft.com/office/drawing/2014/main" id="{00000000-0008-0000-0100-000029000000}"/>
            </a:ext>
          </a:extLst>
        </xdr:cNvPr>
        <xdr:cNvSpPr txBox="1"/>
      </xdr:nvSpPr>
      <xdr:spPr>
        <a:xfrm>
          <a:off x="6075153" y="24923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15</xdr:row>
      <xdr:rowOff>53915</xdr:rowOff>
    </xdr:from>
    <xdr:ext cx="184731" cy="264560"/>
    <xdr:sp macro="" textlink="">
      <xdr:nvSpPr>
        <xdr:cNvPr id="42" name="TextBox 41">
          <a:extLst>
            <a:ext uri="{FF2B5EF4-FFF2-40B4-BE49-F238E27FC236}">
              <a16:creationId xmlns:a16="http://schemas.microsoft.com/office/drawing/2014/main" id="{00000000-0008-0000-0100-00002A000000}"/>
            </a:ext>
          </a:extLst>
        </xdr:cNvPr>
        <xdr:cNvSpPr txBox="1"/>
      </xdr:nvSpPr>
      <xdr:spPr>
        <a:xfrm>
          <a:off x="6075153" y="24923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15</xdr:row>
      <xdr:rowOff>53915</xdr:rowOff>
    </xdr:from>
    <xdr:ext cx="184731" cy="264560"/>
    <xdr:sp macro="" textlink="">
      <xdr:nvSpPr>
        <xdr:cNvPr id="43" name="TextBox 42">
          <a:extLst>
            <a:ext uri="{FF2B5EF4-FFF2-40B4-BE49-F238E27FC236}">
              <a16:creationId xmlns:a16="http://schemas.microsoft.com/office/drawing/2014/main" id="{00000000-0008-0000-0100-00002B000000}"/>
            </a:ext>
          </a:extLst>
        </xdr:cNvPr>
        <xdr:cNvSpPr txBox="1"/>
      </xdr:nvSpPr>
      <xdr:spPr>
        <a:xfrm>
          <a:off x="6075153" y="24923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15</xdr:row>
      <xdr:rowOff>53915</xdr:rowOff>
    </xdr:from>
    <xdr:ext cx="184731" cy="264560"/>
    <xdr:sp macro="" textlink="">
      <xdr:nvSpPr>
        <xdr:cNvPr id="44" name="TextBox 43">
          <a:extLst>
            <a:ext uri="{FF2B5EF4-FFF2-40B4-BE49-F238E27FC236}">
              <a16:creationId xmlns:a16="http://schemas.microsoft.com/office/drawing/2014/main" id="{00000000-0008-0000-0100-00002C000000}"/>
            </a:ext>
          </a:extLst>
        </xdr:cNvPr>
        <xdr:cNvSpPr txBox="1"/>
      </xdr:nvSpPr>
      <xdr:spPr>
        <a:xfrm>
          <a:off x="6075153" y="24923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15</xdr:row>
      <xdr:rowOff>0</xdr:rowOff>
    </xdr:from>
    <xdr:ext cx="184731" cy="264560"/>
    <xdr:sp macro="" textlink="">
      <xdr:nvSpPr>
        <xdr:cNvPr id="45" name="TextBox 44">
          <a:extLst>
            <a:ext uri="{FF2B5EF4-FFF2-40B4-BE49-F238E27FC236}">
              <a16:creationId xmlns:a16="http://schemas.microsoft.com/office/drawing/2014/main" id="{00000000-0008-0000-0100-00002D000000}"/>
            </a:ext>
          </a:extLst>
        </xdr:cNvPr>
        <xdr:cNvSpPr txBox="1"/>
      </xdr:nvSpPr>
      <xdr:spPr>
        <a:xfrm>
          <a:off x="6075153" y="243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15</xdr:row>
      <xdr:rowOff>53915</xdr:rowOff>
    </xdr:from>
    <xdr:ext cx="184731" cy="264560"/>
    <xdr:sp macro="" textlink="">
      <xdr:nvSpPr>
        <xdr:cNvPr id="46" name="TextBox 45">
          <a:extLst>
            <a:ext uri="{FF2B5EF4-FFF2-40B4-BE49-F238E27FC236}">
              <a16:creationId xmlns:a16="http://schemas.microsoft.com/office/drawing/2014/main" id="{00000000-0008-0000-0100-00002E000000}"/>
            </a:ext>
          </a:extLst>
        </xdr:cNvPr>
        <xdr:cNvSpPr txBox="1"/>
      </xdr:nvSpPr>
      <xdr:spPr>
        <a:xfrm>
          <a:off x="6075153" y="24923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15</xdr:row>
      <xdr:rowOff>53915</xdr:rowOff>
    </xdr:from>
    <xdr:ext cx="184731" cy="264560"/>
    <xdr:sp macro="" textlink="">
      <xdr:nvSpPr>
        <xdr:cNvPr id="47" name="TextBox 46">
          <a:extLst>
            <a:ext uri="{FF2B5EF4-FFF2-40B4-BE49-F238E27FC236}">
              <a16:creationId xmlns:a16="http://schemas.microsoft.com/office/drawing/2014/main" id="{00000000-0008-0000-0100-00002F000000}"/>
            </a:ext>
          </a:extLst>
        </xdr:cNvPr>
        <xdr:cNvSpPr txBox="1"/>
      </xdr:nvSpPr>
      <xdr:spPr>
        <a:xfrm>
          <a:off x="6075153" y="24923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15</xdr:row>
      <xdr:rowOff>53915</xdr:rowOff>
    </xdr:from>
    <xdr:ext cx="184731" cy="264560"/>
    <xdr:sp macro="" textlink="">
      <xdr:nvSpPr>
        <xdr:cNvPr id="48" name="TextBox 47">
          <a:extLst>
            <a:ext uri="{FF2B5EF4-FFF2-40B4-BE49-F238E27FC236}">
              <a16:creationId xmlns:a16="http://schemas.microsoft.com/office/drawing/2014/main" id="{00000000-0008-0000-0100-000030000000}"/>
            </a:ext>
          </a:extLst>
        </xdr:cNvPr>
        <xdr:cNvSpPr txBox="1"/>
      </xdr:nvSpPr>
      <xdr:spPr>
        <a:xfrm>
          <a:off x="6075153" y="24923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15</xdr:row>
      <xdr:rowOff>53915</xdr:rowOff>
    </xdr:from>
    <xdr:ext cx="184731" cy="264560"/>
    <xdr:sp macro="" textlink="">
      <xdr:nvSpPr>
        <xdr:cNvPr id="49" name="TextBox 48">
          <a:extLst>
            <a:ext uri="{FF2B5EF4-FFF2-40B4-BE49-F238E27FC236}">
              <a16:creationId xmlns:a16="http://schemas.microsoft.com/office/drawing/2014/main" id="{00000000-0008-0000-0100-000031000000}"/>
            </a:ext>
          </a:extLst>
        </xdr:cNvPr>
        <xdr:cNvSpPr txBox="1"/>
      </xdr:nvSpPr>
      <xdr:spPr>
        <a:xfrm>
          <a:off x="6075153" y="24923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15</xdr:row>
      <xdr:rowOff>0</xdr:rowOff>
    </xdr:from>
    <xdr:ext cx="184731" cy="264560"/>
    <xdr:sp macro="" textlink="">
      <xdr:nvSpPr>
        <xdr:cNvPr id="50" name="TextBox 49">
          <a:extLst>
            <a:ext uri="{FF2B5EF4-FFF2-40B4-BE49-F238E27FC236}">
              <a16:creationId xmlns:a16="http://schemas.microsoft.com/office/drawing/2014/main" id="{00000000-0008-0000-0100-000032000000}"/>
            </a:ext>
          </a:extLst>
        </xdr:cNvPr>
        <xdr:cNvSpPr txBox="1"/>
      </xdr:nvSpPr>
      <xdr:spPr>
        <a:xfrm>
          <a:off x="6075153" y="243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15</xdr:row>
      <xdr:rowOff>53915</xdr:rowOff>
    </xdr:from>
    <xdr:ext cx="184731" cy="264560"/>
    <xdr:sp macro="" textlink="">
      <xdr:nvSpPr>
        <xdr:cNvPr id="51" name="TextBox 50">
          <a:extLst>
            <a:ext uri="{FF2B5EF4-FFF2-40B4-BE49-F238E27FC236}">
              <a16:creationId xmlns:a16="http://schemas.microsoft.com/office/drawing/2014/main" id="{00000000-0008-0000-0100-000033000000}"/>
            </a:ext>
          </a:extLst>
        </xdr:cNvPr>
        <xdr:cNvSpPr txBox="1"/>
      </xdr:nvSpPr>
      <xdr:spPr>
        <a:xfrm>
          <a:off x="6075153" y="24923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15</xdr:row>
      <xdr:rowOff>53915</xdr:rowOff>
    </xdr:from>
    <xdr:ext cx="184731" cy="264560"/>
    <xdr:sp macro="" textlink="">
      <xdr:nvSpPr>
        <xdr:cNvPr id="52" name="TextBox 51">
          <a:extLst>
            <a:ext uri="{FF2B5EF4-FFF2-40B4-BE49-F238E27FC236}">
              <a16:creationId xmlns:a16="http://schemas.microsoft.com/office/drawing/2014/main" id="{00000000-0008-0000-0100-000034000000}"/>
            </a:ext>
          </a:extLst>
        </xdr:cNvPr>
        <xdr:cNvSpPr txBox="1"/>
      </xdr:nvSpPr>
      <xdr:spPr>
        <a:xfrm>
          <a:off x="6075153" y="24923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15</xdr:row>
      <xdr:rowOff>53915</xdr:rowOff>
    </xdr:from>
    <xdr:ext cx="184731" cy="264560"/>
    <xdr:sp macro="" textlink="">
      <xdr:nvSpPr>
        <xdr:cNvPr id="53" name="TextBox 52">
          <a:extLst>
            <a:ext uri="{FF2B5EF4-FFF2-40B4-BE49-F238E27FC236}">
              <a16:creationId xmlns:a16="http://schemas.microsoft.com/office/drawing/2014/main" id="{00000000-0008-0000-0100-000035000000}"/>
            </a:ext>
          </a:extLst>
        </xdr:cNvPr>
        <xdr:cNvSpPr txBox="1"/>
      </xdr:nvSpPr>
      <xdr:spPr>
        <a:xfrm>
          <a:off x="6075153" y="24923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15</xdr:row>
      <xdr:rowOff>53915</xdr:rowOff>
    </xdr:from>
    <xdr:ext cx="184731" cy="264560"/>
    <xdr:sp macro="" textlink="">
      <xdr:nvSpPr>
        <xdr:cNvPr id="54" name="TextBox 53">
          <a:extLst>
            <a:ext uri="{FF2B5EF4-FFF2-40B4-BE49-F238E27FC236}">
              <a16:creationId xmlns:a16="http://schemas.microsoft.com/office/drawing/2014/main" id="{00000000-0008-0000-0100-000036000000}"/>
            </a:ext>
          </a:extLst>
        </xdr:cNvPr>
        <xdr:cNvSpPr txBox="1"/>
      </xdr:nvSpPr>
      <xdr:spPr>
        <a:xfrm>
          <a:off x="6075153" y="24923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15</xdr:row>
      <xdr:rowOff>0</xdr:rowOff>
    </xdr:from>
    <xdr:ext cx="184731" cy="264560"/>
    <xdr:sp macro="" textlink="">
      <xdr:nvSpPr>
        <xdr:cNvPr id="55" name="TextBox 54">
          <a:extLst>
            <a:ext uri="{FF2B5EF4-FFF2-40B4-BE49-F238E27FC236}">
              <a16:creationId xmlns:a16="http://schemas.microsoft.com/office/drawing/2014/main" id="{00000000-0008-0000-0100-000037000000}"/>
            </a:ext>
          </a:extLst>
        </xdr:cNvPr>
        <xdr:cNvSpPr txBox="1"/>
      </xdr:nvSpPr>
      <xdr:spPr>
        <a:xfrm>
          <a:off x="6075153" y="243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15</xdr:row>
      <xdr:rowOff>53915</xdr:rowOff>
    </xdr:from>
    <xdr:ext cx="184731" cy="264560"/>
    <xdr:sp macro="" textlink="">
      <xdr:nvSpPr>
        <xdr:cNvPr id="56" name="TextBox 55">
          <a:extLst>
            <a:ext uri="{FF2B5EF4-FFF2-40B4-BE49-F238E27FC236}">
              <a16:creationId xmlns:a16="http://schemas.microsoft.com/office/drawing/2014/main" id="{00000000-0008-0000-0100-000038000000}"/>
            </a:ext>
          </a:extLst>
        </xdr:cNvPr>
        <xdr:cNvSpPr txBox="1"/>
      </xdr:nvSpPr>
      <xdr:spPr>
        <a:xfrm>
          <a:off x="6075153" y="24923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23</xdr:row>
      <xdr:rowOff>53915</xdr:rowOff>
    </xdr:from>
    <xdr:ext cx="184731" cy="264560"/>
    <xdr:sp macro="" textlink="">
      <xdr:nvSpPr>
        <xdr:cNvPr id="57" name="TextBox 56">
          <a:extLst>
            <a:ext uri="{FF2B5EF4-FFF2-40B4-BE49-F238E27FC236}">
              <a16:creationId xmlns:a16="http://schemas.microsoft.com/office/drawing/2014/main" id="{00000000-0008-0000-0100-000039000000}"/>
            </a:ext>
          </a:extLst>
        </xdr:cNvPr>
        <xdr:cNvSpPr txBox="1"/>
      </xdr:nvSpPr>
      <xdr:spPr>
        <a:xfrm>
          <a:off x="4933950" y="40925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23</xdr:row>
      <xdr:rowOff>53915</xdr:rowOff>
    </xdr:from>
    <xdr:ext cx="184731" cy="264560"/>
    <xdr:sp macro="" textlink="">
      <xdr:nvSpPr>
        <xdr:cNvPr id="58" name="TextBox 57">
          <a:extLst>
            <a:ext uri="{FF2B5EF4-FFF2-40B4-BE49-F238E27FC236}">
              <a16:creationId xmlns:a16="http://schemas.microsoft.com/office/drawing/2014/main" id="{00000000-0008-0000-0100-00003A000000}"/>
            </a:ext>
          </a:extLst>
        </xdr:cNvPr>
        <xdr:cNvSpPr txBox="1"/>
      </xdr:nvSpPr>
      <xdr:spPr>
        <a:xfrm>
          <a:off x="4933950" y="40925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23</xdr:row>
      <xdr:rowOff>53915</xdr:rowOff>
    </xdr:from>
    <xdr:ext cx="184731" cy="264560"/>
    <xdr:sp macro="" textlink="">
      <xdr:nvSpPr>
        <xdr:cNvPr id="59" name="TextBox 58">
          <a:extLst>
            <a:ext uri="{FF2B5EF4-FFF2-40B4-BE49-F238E27FC236}">
              <a16:creationId xmlns:a16="http://schemas.microsoft.com/office/drawing/2014/main" id="{00000000-0008-0000-0100-00003B000000}"/>
            </a:ext>
          </a:extLst>
        </xdr:cNvPr>
        <xdr:cNvSpPr txBox="1"/>
      </xdr:nvSpPr>
      <xdr:spPr>
        <a:xfrm>
          <a:off x="4933950" y="40925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23</xdr:row>
      <xdr:rowOff>0</xdr:rowOff>
    </xdr:from>
    <xdr:ext cx="184731" cy="264560"/>
    <xdr:sp macro="" textlink="">
      <xdr:nvSpPr>
        <xdr:cNvPr id="60" name="TextBox 59">
          <a:extLst>
            <a:ext uri="{FF2B5EF4-FFF2-40B4-BE49-F238E27FC236}">
              <a16:creationId xmlns:a16="http://schemas.microsoft.com/office/drawing/2014/main" id="{00000000-0008-0000-0100-00003C000000}"/>
            </a:ext>
          </a:extLst>
        </xdr:cNvPr>
        <xdr:cNvSpPr txBox="1"/>
      </xdr:nvSpPr>
      <xdr:spPr>
        <a:xfrm>
          <a:off x="4933950" y="4038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23</xdr:row>
      <xdr:rowOff>53915</xdr:rowOff>
    </xdr:from>
    <xdr:ext cx="184731" cy="264560"/>
    <xdr:sp macro="" textlink="">
      <xdr:nvSpPr>
        <xdr:cNvPr id="61" name="TextBox 60">
          <a:extLst>
            <a:ext uri="{FF2B5EF4-FFF2-40B4-BE49-F238E27FC236}">
              <a16:creationId xmlns:a16="http://schemas.microsoft.com/office/drawing/2014/main" id="{00000000-0008-0000-0100-00003D000000}"/>
            </a:ext>
          </a:extLst>
        </xdr:cNvPr>
        <xdr:cNvSpPr txBox="1"/>
      </xdr:nvSpPr>
      <xdr:spPr>
        <a:xfrm>
          <a:off x="4933950" y="40925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23</xdr:row>
      <xdr:rowOff>53915</xdr:rowOff>
    </xdr:from>
    <xdr:ext cx="184731" cy="264560"/>
    <xdr:sp macro="" textlink="">
      <xdr:nvSpPr>
        <xdr:cNvPr id="62" name="TextBox 61">
          <a:extLst>
            <a:ext uri="{FF2B5EF4-FFF2-40B4-BE49-F238E27FC236}">
              <a16:creationId xmlns:a16="http://schemas.microsoft.com/office/drawing/2014/main" id="{00000000-0008-0000-0100-00003E000000}"/>
            </a:ext>
          </a:extLst>
        </xdr:cNvPr>
        <xdr:cNvSpPr txBox="1"/>
      </xdr:nvSpPr>
      <xdr:spPr>
        <a:xfrm>
          <a:off x="4933950" y="40925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23</xdr:row>
      <xdr:rowOff>53915</xdr:rowOff>
    </xdr:from>
    <xdr:ext cx="184731" cy="264560"/>
    <xdr:sp macro="" textlink="">
      <xdr:nvSpPr>
        <xdr:cNvPr id="63" name="TextBox 62">
          <a:extLst>
            <a:ext uri="{FF2B5EF4-FFF2-40B4-BE49-F238E27FC236}">
              <a16:creationId xmlns:a16="http://schemas.microsoft.com/office/drawing/2014/main" id="{00000000-0008-0000-0100-00003F000000}"/>
            </a:ext>
          </a:extLst>
        </xdr:cNvPr>
        <xdr:cNvSpPr txBox="1"/>
      </xdr:nvSpPr>
      <xdr:spPr>
        <a:xfrm>
          <a:off x="4933950" y="40925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23</xdr:row>
      <xdr:rowOff>53915</xdr:rowOff>
    </xdr:from>
    <xdr:ext cx="184731" cy="264560"/>
    <xdr:sp macro="" textlink="">
      <xdr:nvSpPr>
        <xdr:cNvPr id="64" name="TextBox 63">
          <a:extLst>
            <a:ext uri="{FF2B5EF4-FFF2-40B4-BE49-F238E27FC236}">
              <a16:creationId xmlns:a16="http://schemas.microsoft.com/office/drawing/2014/main" id="{00000000-0008-0000-0100-000040000000}"/>
            </a:ext>
          </a:extLst>
        </xdr:cNvPr>
        <xdr:cNvSpPr txBox="1"/>
      </xdr:nvSpPr>
      <xdr:spPr>
        <a:xfrm>
          <a:off x="4933950" y="40925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23</xdr:row>
      <xdr:rowOff>0</xdr:rowOff>
    </xdr:from>
    <xdr:ext cx="184731" cy="264560"/>
    <xdr:sp macro="" textlink="">
      <xdr:nvSpPr>
        <xdr:cNvPr id="65" name="TextBox 64">
          <a:extLst>
            <a:ext uri="{FF2B5EF4-FFF2-40B4-BE49-F238E27FC236}">
              <a16:creationId xmlns:a16="http://schemas.microsoft.com/office/drawing/2014/main" id="{00000000-0008-0000-0100-000041000000}"/>
            </a:ext>
          </a:extLst>
        </xdr:cNvPr>
        <xdr:cNvSpPr txBox="1"/>
      </xdr:nvSpPr>
      <xdr:spPr>
        <a:xfrm>
          <a:off x="4933950" y="4038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23</xdr:row>
      <xdr:rowOff>53915</xdr:rowOff>
    </xdr:from>
    <xdr:ext cx="184731" cy="264560"/>
    <xdr:sp macro="" textlink="">
      <xdr:nvSpPr>
        <xdr:cNvPr id="66" name="TextBox 65">
          <a:extLst>
            <a:ext uri="{FF2B5EF4-FFF2-40B4-BE49-F238E27FC236}">
              <a16:creationId xmlns:a16="http://schemas.microsoft.com/office/drawing/2014/main" id="{00000000-0008-0000-0100-000042000000}"/>
            </a:ext>
          </a:extLst>
        </xdr:cNvPr>
        <xdr:cNvSpPr txBox="1"/>
      </xdr:nvSpPr>
      <xdr:spPr>
        <a:xfrm>
          <a:off x="4933950" y="40925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23</xdr:row>
      <xdr:rowOff>53915</xdr:rowOff>
    </xdr:from>
    <xdr:ext cx="184731" cy="264560"/>
    <xdr:sp macro="" textlink="">
      <xdr:nvSpPr>
        <xdr:cNvPr id="67" name="TextBox 66">
          <a:extLst>
            <a:ext uri="{FF2B5EF4-FFF2-40B4-BE49-F238E27FC236}">
              <a16:creationId xmlns:a16="http://schemas.microsoft.com/office/drawing/2014/main" id="{00000000-0008-0000-0100-000043000000}"/>
            </a:ext>
          </a:extLst>
        </xdr:cNvPr>
        <xdr:cNvSpPr txBox="1"/>
      </xdr:nvSpPr>
      <xdr:spPr>
        <a:xfrm>
          <a:off x="4933950" y="40925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23</xdr:row>
      <xdr:rowOff>53915</xdr:rowOff>
    </xdr:from>
    <xdr:ext cx="184731" cy="264560"/>
    <xdr:sp macro="" textlink="">
      <xdr:nvSpPr>
        <xdr:cNvPr id="68" name="TextBox 67">
          <a:extLst>
            <a:ext uri="{FF2B5EF4-FFF2-40B4-BE49-F238E27FC236}">
              <a16:creationId xmlns:a16="http://schemas.microsoft.com/office/drawing/2014/main" id="{00000000-0008-0000-0100-000044000000}"/>
            </a:ext>
          </a:extLst>
        </xdr:cNvPr>
        <xdr:cNvSpPr txBox="1"/>
      </xdr:nvSpPr>
      <xdr:spPr>
        <a:xfrm>
          <a:off x="4933950" y="40925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23</xdr:row>
      <xdr:rowOff>53915</xdr:rowOff>
    </xdr:from>
    <xdr:ext cx="184731" cy="264560"/>
    <xdr:sp macro="" textlink="">
      <xdr:nvSpPr>
        <xdr:cNvPr id="69" name="TextBox 68">
          <a:extLst>
            <a:ext uri="{FF2B5EF4-FFF2-40B4-BE49-F238E27FC236}">
              <a16:creationId xmlns:a16="http://schemas.microsoft.com/office/drawing/2014/main" id="{00000000-0008-0000-0100-000045000000}"/>
            </a:ext>
          </a:extLst>
        </xdr:cNvPr>
        <xdr:cNvSpPr txBox="1"/>
      </xdr:nvSpPr>
      <xdr:spPr>
        <a:xfrm>
          <a:off x="4933950" y="40925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23</xdr:row>
      <xdr:rowOff>0</xdr:rowOff>
    </xdr:from>
    <xdr:ext cx="184731" cy="264560"/>
    <xdr:sp macro="" textlink="">
      <xdr:nvSpPr>
        <xdr:cNvPr id="70" name="TextBox 69">
          <a:extLst>
            <a:ext uri="{FF2B5EF4-FFF2-40B4-BE49-F238E27FC236}">
              <a16:creationId xmlns:a16="http://schemas.microsoft.com/office/drawing/2014/main" id="{00000000-0008-0000-0100-000046000000}"/>
            </a:ext>
          </a:extLst>
        </xdr:cNvPr>
        <xdr:cNvSpPr txBox="1"/>
      </xdr:nvSpPr>
      <xdr:spPr>
        <a:xfrm>
          <a:off x="4933950" y="4038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23</xdr:row>
      <xdr:rowOff>53915</xdr:rowOff>
    </xdr:from>
    <xdr:ext cx="184731" cy="264560"/>
    <xdr:sp macro="" textlink="">
      <xdr:nvSpPr>
        <xdr:cNvPr id="71" name="TextBox 70">
          <a:extLst>
            <a:ext uri="{FF2B5EF4-FFF2-40B4-BE49-F238E27FC236}">
              <a16:creationId xmlns:a16="http://schemas.microsoft.com/office/drawing/2014/main" id="{00000000-0008-0000-0100-000047000000}"/>
            </a:ext>
          </a:extLst>
        </xdr:cNvPr>
        <xdr:cNvSpPr txBox="1"/>
      </xdr:nvSpPr>
      <xdr:spPr>
        <a:xfrm>
          <a:off x="4933950" y="40925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23</xdr:row>
      <xdr:rowOff>53915</xdr:rowOff>
    </xdr:from>
    <xdr:ext cx="184731" cy="264560"/>
    <xdr:sp macro="" textlink="">
      <xdr:nvSpPr>
        <xdr:cNvPr id="72" name="TextBox 71">
          <a:extLst>
            <a:ext uri="{FF2B5EF4-FFF2-40B4-BE49-F238E27FC236}">
              <a16:creationId xmlns:a16="http://schemas.microsoft.com/office/drawing/2014/main" id="{00000000-0008-0000-0100-000048000000}"/>
            </a:ext>
          </a:extLst>
        </xdr:cNvPr>
        <xdr:cNvSpPr txBox="1"/>
      </xdr:nvSpPr>
      <xdr:spPr>
        <a:xfrm>
          <a:off x="4933950" y="40925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23</xdr:row>
      <xdr:rowOff>53915</xdr:rowOff>
    </xdr:from>
    <xdr:ext cx="184731" cy="264560"/>
    <xdr:sp macro="" textlink="">
      <xdr:nvSpPr>
        <xdr:cNvPr id="73" name="TextBox 72">
          <a:extLst>
            <a:ext uri="{FF2B5EF4-FFF2-40B4-BE49-F238E27FC236}">
              <a16:creationId xmlns:a16="http://schemas.microsoft.com/office/drawing/2014/main" id="{00000000-0008-0000-0100-000049000000}"/>
            </a:ext>
          </a:extLst>
        </xdr:cNvPr>
        <xdr:cNvSpPr txBox="1"/>
      </xdr:nvSpPr>
      <xdr:spPr>
        <a:xfrm>
          <a:off x="4933950" y="40925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23</xdr:row>
      <xdr:rowOff>53915</xdr:rowOff>
    </xdr:from>
    <xdr:ext cx="184731" cy="264560"/>
    <xdr:sp macro="" textlink="">
      <xdr:nvSpPr>
        <xdr:cNvPr id="74" name="TextBox 73">
          <a:extLst>
            <a:ext uri="{FF2B5EF4-FFF2-40B4-BE49-F238E27FC236}">
              <a16:creationId xmlns:a16="http://schemas.microsoft.com/office/drawing/2014/main" id="{00000000-0008-0000-0100-00004A000000}"/>
            </a:ext>
          </a:extLst>
        </xdr:cNvPr>
        <xdr:cNvSpPr txBox="1"/>
      </xdr:nvSpPr>
      <xdr:spPr>
        <a:xfrm>
          <a:off x="4933950" y="40925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23</xdr:row>
      <xdr:rowOff>0</xdr:rowOff>
    </xdr:from>
    <xdr:ext cx="184731" cy="264560"/>
    <xdr:sp macro="" textlink="">
      <xdr:nvSpPr>
        <xdr:cNvPr id="75" name="TextBox 74">
          <a:extLst>
            <a:ext uri="{FF2B5EF4-FFF2-40B4-BE49-F238E27FC236}">
              <a16:creationId xmlns:a16="http://schemas.microsoft.com/office/drawing/2014/main" id="{00000000-0008-0000-0100-00004B000000}"/>
            </a:ext>
          </a:extLst>
        </xdr:cNvPr>
        <xdr:cNvSpPr txBox="1"/>
      </xdr:nvSpPr>
      <xdr:spPr>
        <a:xfrm>
          <a:off x="4933950" y="4038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23</xdr:row>
      <xdr:rowOff>53915</xdr:rowOff>
    </xdr:from>
    <xdr:ext cx="184731" cy="264560"/>
    <xdr:sp macro="" textlink="">
      <xdr:nvSpPr>
        <xdr:cNvPr id="76" name="TextBox 75">
          <a:extLst>
            <a:ext uri="{FF2B5EF4-FFF2-40B4-BE49-F238E27FC236}">
              <a16:creationId xmlns:a16="http://schemas.microsoft.com/office/drawing/2014/main" id="{00000000-0008-0000-0100-00004C000000}"/>
            </a:ext>
          </a:extLst>
        </xdr:cNvPr>
        <xdr:cNvSpPr txBox="1"/>
      </xdr:nvSpPr>
      <xdr:spPr>
        <a:xfrm>
          <a:off x="4933950" y="40925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23</xdr:row>
      <xdr:rowOff>53915</xdr:rowOff>
    </xdr:from>
    <xdr:ext cx="184731" cy="264560"/>
    <xdr:sp macro="" textlink="">
      <xdr:nvSpPr>
        <xdr:cNvPr id="77" name="TextBox 76">
          <a:extLst>
            <a:ext uri="{FF2B5EF4-FFF2-40B4-BE49-F238E27FC236}">
              <a16:creationId xmlns:a16="http://schemas.microsoft.com/office/drawing/2014/main" id="{00000000-0008-0000-0100-00004D000000}"/>
            </a:ext>
          </a:extLst>
        </xdr:cNvPr>
        <xdr:cNvSpPr txBox="1"/>
      </xdr:nvSpPr>
      <xdr:spPr>
        <a:xfrm>
          <a:off x="4933950" y="40925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23</xdr:row>
      <xdr:rowOff>53915</xdr:rowOff>
    </xdr:from>
    <xdr:ext cx="184731" cy="264560"/>
    <xdr:sp macro="" textlink="">
      <xdr:nvSpPr>
        <xdr:cNvPr id="78" name="TextBox 77">
          <a:extLst>
            <a:ext uri="{FF2B5EF4-FFF2-40B4-BE49-F238E27FC236}">
              <a16:creationId xmlns:a16="http://schemas.microsoft.com/office/drawing/2014/main" id="{00000000-0008-0000-0100-00004E000000}"/>
            </a:ext>
          </a:extLst>
        </xdr:cNvPr>
        <xdr:cNvSpPr txBox="1"/>
      </xdr:nvSpPr>
      <xdr:spPr>
        <a:xfrm>
          <a:off x="4933950" y="40925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23</xdr:row>
      <xdr:rowOff>53915</xdr:rowOff>
    </xdr:from>
    <xdr:ext cx="184731" cy="264560"/>
    <xdr:sp macro="" textlink="">
      <xdr:nvSpPr>
        <xdr:cNvPr id="79" name="TextBox 78">
          <a:extLst>
            <a:ext uri="{FF2B5EF4-FFF2-40B4-BE49-F238E27FC236}">
              <a16:creationId xmlns:a16="http://schemas.microsoft.com/office/drawing/2014/main" id="{00000000-0008-0000-0100-00004F000000}"/>
            </a:ext>
          </a:extLst>
        </xdr:cNvPr>
        <xdr:cNvSpPr txBox="1"/>
      </xdr:nvSpPr>
      <xdr:spPr>
        <a:xfrm>
          <a:off x="4933950" y="40925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23</xdr:row>
      <xdr:rowOff>0</xdr:rowOff>
    </xdr:from>
    <xdr:ext cx="184731" cy="264560"/>
    <xdr:sp macro="" textlink="">
      <xdr:nvSpPr>
        <xdr:cNvPr id="80" name="TextBox 79">
          <a:extLst>
            <a:ext uri="{FF2B5EF4-FFF2-40B4-BE49-F238E27FC236}">
              <a16:creationId xmlns:a16="http://schemas.microsoft.com/office/drawing/2014/main" id="{00000000-0008-0000-0100-000050000000}"/>
            </a:ext>
          </a:extLst>
        </xdr:cNvPr>
        <xdr:cNvSpPr txBox="1"/>
      </xdr:nvSpPr>
      <xdr:spPr>
        <a:xfrm>
          <a:off x="4933950" y="4038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23</xdr:row>
      <xdr:rowOff>53915</xdr:rowOff>
    </xdr:from>
    <xdr:ext cx="184731" cy="264560"/>
    <xdr:sp macro="" textlink="">
      <xdr:nvSpPr>
        <xdr:cNvPr id="81" name="TextBox 80">
          <a:extLst>
            <a:ext uri="{FF2B5EF4-FFF2-40B4-BE49-F238E27FC236}">
              <a16:creationId xmlns:a16="http://schemas.microsoft.com/office/drawing/2014/main" id="{00000000-0008-0000-0100-000051000000}"/>
            </a:ext>
          </a:extLst>
        </xdr:cNvPr>
        <xdr:cNvSpPr txBox="1"/>
      </xdr:nvSpPr>
      <xdr:spPr>
        <a:xfrm>
          <a:off x="4933950" y="40925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23</xdr:row>
      <xdr:rowOff>53915</xdr:rowOff>
    </xdr:from>
    <xdr:ext cx="184731" cy="264560"/>
    <xdr:sp macro="" textlink="">
      <xdr:nvSpPr>
        <xdr:cNvPr id="82" name="TextBox 81">
          <a:extLst>
            <a:ext uri="{FF2B5EF4-FFF2-40B4-BE49-F238E27FC236}">
              <a16:creationId xmlns:a16="http://schemas.microsoft.com/office/drawing/2014/main" id="{00000000-0008-0000-0100-000052000000}"/>
            </a:ext>
          </a:extLst>
        </xdr:cNvPr>
        <xdr:cNvSpPr txBox="1"/>
      </xdr:nvSpPr>
      <xdr:spPr>
        <a:xfrm>
          <a:off x="4933950" y="40925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23</xdr:row>
      <xdr:rowOff>53915</xdr:rowOff>
    </xdr:from>
    <xdr:ext cx="184731" cy="264560"/>
    <xdr:sp macro="" textlink="">
      <xdr:nvSpPr>
        <xdr:cNvPr id="83" name="TextBox 82">
          <a:extLst>
            <a:ext uri="{FF2B5EF4-FFF2-40B4-BE49-F238E27FC236}">
              <a16:creationId xmlns:a16="http://schemas.microsoft.com/office/drawing/2014/main" id="{00000000-0008-0000-0100-000053000000}"/>
            </a:ext>
          </a:extLst>
        </xdr:cNvPr>
        <xdr:cNvSpPr txBox="1"/>
      </xdr:nvSpPr>
      <xdr:spPr>
        <a:xfrm>
          <a:off x="4933950" y="40925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23</xdr:row>
      <xdr:rowOff>53915</xdr:rowOff>
    </xdr:from>
    <xdr:ext cx="184731" cy="264560"/>
    <xdr:sp macro="" textlink="">
      <xdr:nvSpPr>
        <xdr:cNvPr id="84" name="TextBox 83">
          <a:extLst>
            <a:ext uri="{FF2B5EF4-FFF2-40B4-BE49-F238E27FC236}">
              <a16:creationId xmlns:a16="http://schemas.microsoft.com/office/drawing/2014/main" id="{00000000-0008-0000-0100-000054000000}"/>
            </a:ext>
          </a:extLst>
        </xdr:cNvPr>
        <xdr:cNvSpPr txBox="1"/>
      </xdr:nvSpPr>
      <xdr:spPr>
        <a:xfrm>
          <a:off x="4933950" y="40925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23</xdr:row>
      <xdr:rowOff>0</xdr:rowOff>
    </xdr:from>
    <xdr:ext cx="184731" cy="264560"/>
    <xdr:sp macro="" textlink="">
      <xdr:nvSpPr>
        <xdr:cNvPr id="85" name="TextBox 84">
          <a:extLst>
            <a:ext uri="{FF2B5EF4-FFF2-40B4-BE49-F238E27FC236}">
              <a16:creationId xmlns:a16="http://schemas.microsoft.com/office/drawing/2014/main" id="{00000000-0008-0000-0100-000055000000}"/>
            </a:ext>
          </a:extLst>
        </xdr:cNvPr>
        <xdr:cNvSpPr txBox="1"/>
      </xdr:nvSpPr>
      <xdr:spPr>
        <a:xfrm>
          <a:off x="4933950" y="4038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23</xdr:row>
      <xdr:rowOff>53915</xdr:rowOff>
    </xdr:from>
    <xdr:ext cx="184731" cy="264560"/>
    <xdr:sp macro="" textlink="">
      <xdr:nvSpPr>
        <xdr:cNvPr id="86" name="TextBox 85">
          <a:extLst>
            <a:ext uri="{FF2B5EF4-FFF2-40B4-BE49-F238E27FC236}">
              <a16:creationId xmlns:a16="http://schemas.microsoft.com/office/drawing/2014/main" id="{00000000-0008-0000-0100-000056000000}"/>
            </a:ext>
          </a:extLst>
        </xdr:cNvPr>
        <xdr:cNvSpPr txBox="1"/>
      </xdr:nvSpPr>
      <xdr:spPr>
        <a:xfrm>
          <a:off x="4933950" y="40925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23</xdr:row>
      <xdr:rowOff>53915</xdr:rowOff>
    </xdr:from>
    <xdr:ext cx="184731" cy="264560"/>
    <xdr:sp macro="" textlink="">
      <xdr:nvSpPr>
        <xdr:cNvPr id="87" name="TextBox 86">
          <a:extLst>
            <a:ext uri="{FF2B5EF4-FFF2-40B4-BE49-F238E27FC236}">
              <a16:creationId xmlns:a16="http://schemas.microsoft.com/office/drawing/2014/main" id="{00000000-0008-0000-0100-000057000000}"/>
            </a:ext>
          </a:extLst>
        </xdr:cNvPr>
        <xdr:cNvSpPr txBox="1"/>
      </xdr:nvSpPr>
      <xdr:spPr>
        <a:xfrm>
          <a:off x="4933950" y="40925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23</xdr:row>
      <xdr:rowOff>53915</xdr:rowOff>
    </xdr:from>
    <xdr:ext cx="184731" cy="264560"/>
    <xdr:sp macro="" textlink="">
      <xdr:nvSpPr>
        <xdr:cNvPr id="88" name="TextBox 87">
          <a:extLst>
            <a:ext uri="{FF2B5EF4-FFF2-40B4-BE49-F238E27FC236}">
              <a16:creationId xmlns:a16="http://schemas.microsoft.com/office/drawing/2014/main" id="{00000000-0008-0000-0100-000058000000}"/>
            </a:ext>
          </a:extLst>
        </xdr:cNvPr>
        <xdr:cNvSpPr txBox="1"/>
      </xdr:nvSpPr>
      <xdr:spPr>
        <a:xfrm>
          <a:off x="4933950" y="40925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23</xdr:row>
      <xdr:rowOff>53915</xdr:rowOff>
    </xdr:from>
    <xdr:ext cx="184731" cy="264560"/>
    <xdr:sp macro="" textlink="">
      <xdr:nvSpPr>
        <xdr:cNvPr id="89" name="TextBox 88">
          <a:extLst>
            <a:ext uri="{FF2B5EF4-FFF2-40B4-BE49-F238E27FC236}">
              <a16:creationId xmlns:a16="http://schemas.microsoft.com/office/drawing/2014/main" id="{00000000-0008-0000-0100-000059000000}"/>
            </a:ext>
          </a:extLst>
        </xdr:cNvPr>
        <xdr:cNvSpPr txBox="1"/>
      </xdr:nvSpPr>
      <xdr:spPr>
        <a:xfrm>
          <a:off x="4933950" y="40925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23</xdr:row>
      <xdr:rowOff>0</xdr:rowOff>
    </xdr:from>
    <xdr:ext cx="184731" cy="264560"/>
    <xdr:sp macro="" textlink="">
      <xdr:nvSpPr>
        <xdr:cNvPr id="90" name="TextBox 89">
          <a:extLst>
            <a:ext uri="{FF2B5EF4-FFF2-40B4-BE49-F238E27FC236}">
              <a16:creationId xmlns:a16="http://schemas.microsoft.com/office/drawing/2014/main" id="{00000000-0008-0000-0100-00005A000000}"/>
            </a:ext>
          </a:extLst>
        </xdr:cNvPr>
        <xdr:cNvSpPr txBox="1"/>
      </xdr:nvSpPr>
      <xdr:spPr>
        <a:xfrm>
          <a:off x="4933950" y="4038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23</xdr:row>
      <xdr:rowOff>53915</xdr:rowOff>
    </xdr:from>
    <xdr:ext cx="184731" cy="264560"/>
    <xdr:sp macro="" textlink="">
      <xdr:nvSpPr>
        <xdr:cNvPr id="91" name="TextBox 90">
          <a:extLst>
            <a:ext uri="{FF2B5EF4-FFF2-40B4-BE49-F238E27FC236}">
              <a16:creationId xmlns:a16="http://schemas.microsoft.com/office/drawing/2014/main" id="{00000000-0008-0000-0100-00005B000000}"/>
            </a:ext>
          </a:extLst>
        </xdr:cNvPr>
        <xdr:cNvSpPr txBox="1"/>
      </xdr:nvSpPr>
      <xdr:spPr>
        <a:xfrm>
          <a:off x="4933950" y="40925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29</xdr:row>
      <xdr:rowOff>53915</xdr:rowOff>
    </xdr:from>
    <xdr:ext cx="184731" cy="264560"/>
    <xdr:sp macro="" textlink="">
      <xdr:nvSpPr>
        <xdr:cNvPr id="92" name="TextBox 91">
          <a:extLst>
            <a:ext uri="{FF2B5EF4-FFF2-40B4-BE49-F238E27FC236}">
              <a16:creationId xmlns:a16="http://schemas.microsoft.com/office/drawing/2014/main" id="{00000000-0008-0000-0100-00005C000000}"/>
            </a:ext>
          </a:extLst>
        </xdr:cNvPr>
        <xdr:cNvSpPr txBox="1"/>
      </xdr:nvSpPr>
      <xdr:spPr>
        <a:xfrm>
          <a:off x="4933950" y="52926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29</xdr:row>
      <xdr:rowOff>53915</xdr:rowOff>
    </xdr:from>
    <xdr:ext cx="184731" cy="264560"/>
    <xdr:sp macro="" textlink="">
      <xdr:nvSpPr>
        <xdr:cNvPr id="93" name="TextBox 92">
          <a:extLst>
            <a:ext uri="{FF2B5EF4-FFF2-40B4-BE49-F238E27FC236}">
              <a16:creationId xmlns:a16="http://schemas.microsoft.com/office/drawing/2014/main" id="{00000000-0008-0000-0100-00005D000000}"/>
            </a:ext>
          </a:extLst>
        </xdr:cNvPr>
        <xdr:cNvSpPr txBox="1"/>
      </xdr:nvSpPr>
      <xdr:spPr>
        <a:xfrm>
          <a:off x="4933950" y="52926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29</xdr:row>
      <xdr:rowOff>53915</xdr:rowOff>
    </xdr:from>
    <xdr:ext cx="184731" cy="264560"/>
    <xdr:sp macro="" textlink="">
      <xdr:nvSpPr>
        <xdr:cNvPr id="94" name="TextBox 93">
          <a:extLst>
            <a:ext uri="{FF2B5EF4-FFF2-40B4-BE49-F238E27FC236}">
              <a16:creationId xmlns:a16="http://schemas.microsoft.com/office/drawing/2014/main" id="{00000000-0008-0000-0100-00005E000000}"/>
            </a:ext>
          </a:extLst>
        </xdr:cNvPr>
        <xdr:cNvSpPr txBox="1"/>
      </xdr:nvSpPr>
      <xdr:spPr>
        <a:xfrm>
          <a:off x="4933950" y="52926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29</xdr:row>
      <xdr:rowOff>0</xdr:rowOff>
    </xdr:from>
    <xdr:ext cx="184731" cy="264560"/>
    <xdr:sp macro="" textlink="">
      <xdr:nvSpPr>
        <xdr:cNvPr id="95" name="TextBox 94">
          <a:extLst>
            <a:ext uri="{FF2B5EF4-FFF2-40B4-BE49-F238E27FC236}">
              <a16:creationId xmlns:a16="http://schemas.microsoft.com/office/drawing/2014/main" id="{00000000-0008-0000-0100-00005F000000}"/>
            </a:ext>
          </a:extLst>
        </xdr:cNvPr>
        <xdr:cNvSpPr txBox="1"/>
      </xdr:nvSpPr>
      <xdr:spPr>
        <a:xfrm>
          <a:off x="4933950" y="5238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29</xdr:row>
      <xdr:rowOff>53915</xdr:rowOff>
    </xdr:from>
    <xdr:ext cx="184731" cy="264560"/>
    <xdr:sp macro="" textlink="">
      <xdr:nvSpPr>
        <xdr:cNvPr id="96" name="TextBox 95">
          <a:extLst>
            <a:ext uri="{FF2B5EF4-FFF2-40B4-BE49-F238E27FC236}">
              <a16:creationId xmlns:a16="http://schemas.microsoft.com/office/drawing/2014/main" id="{00000000-0008-0000-0100-000060000000}"/>
            </a:ext>
          </a:extLst>
        </xdr:cNvPr>
        <xdr:cNvSpPr txBox="1"/>
      </xdr:nvSpPr>
      <xdr:spPr>
        <a:xfrm>
          <a:off x="4933950" y="52926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29</xdr:row>
      <xdr:rowOff>53915</xdr:rowOff>
    </xdr:from>
    <xdr:ext cx="184731" cy="264560"/>
    <xdr:sp macro="" textlink="">
      <xdr:nvSpPr>
        <xdr:cNvPr id="97" name="TextBox 96">
          <a:extLst>
            <a:ext uri="{FF2B5EF4-FFF2-40B4-BE49-F238E27FC236}">
              <a16:creationId xmlns:a16="http://schemas.microsoft.com/office/drawing/2014/main" id="{00000000-0008-0000-0100-000061000000}"/>
            </a:ext>
          </a:extLst>
        </xdr:cNvPr>
        <xdr:cNvSpPr txBox="1"/>
      </xdr:nvSpPr>
      <xdr:spPr>
        <a:xfrm>
          <a:off x="4933950" y="52926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29</xdr:row>
      <xdr:rowOff>53915</xdr:rowOff>
    </xdr:from>
    <xdr:ext cx="184731" cy="264560"/>
    <xdr:sp macro="" textlink="">
      <xdr:nvSpPr>
        <xdr:cNvPr id="98" name="TextBox 97">
          <a:extLst>
            <a:ext uri="{FF2B5EF4-FFF2-40B4-BE49-F238E27FC236}">
              <a16:creationId xmlns:a16="http://schemas.microsoft.com/office/drawing/2014/main" id="{00000000-0008-0000-0100-000062000000}"/>
            </a:ext>
          </a:extLst>
        </xdr:cNvPr>
        <xdr:cNvSpPr txBox="1"/>
      </xdr:nvSpPr>
      <xdr:spPr>
        <a:xfrm>
          <a:off x="4933950" y="52926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29</xdr:row>
      <xdr:rowOff>53915</xdr:rowOff>
    </xdr:from>
    <xdr:ext cx="184731" cy="264560"/>
    <xdr:sp macro="" textlink="">
      <xdr:nvSpPr>
        <xdr:cNvPr id="99" name="TextBox 98">
          <a:extLst>
            <a:ext uri="{FF2B5EF4-FFF2-40B4-BE49-F238E27FC236}">
              <a16:creationId xmlns:a16="http://schemas.microsoft.com/office/drawing/2014/main" id="{00000000-0008-0000-0100-000063000000}"/>
            </a:ext>
          </a:extLst>
        </xdr:cNvPr>
        <xdr:cNvSpPr txBox="1"/>
      </xdr:nvSpPr>
      <xdr:spPr>
        <a:xfrm>
          <a:off x="4933950" y="52926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29</xdr:row>
      <xdr:rowOff>0</xdr:rowOff>
    </xdr:from>
    <xdr:ext cx="184731" cy="264560"/>
    <xdr:sp macro="" textlink="">
      <xdr:nvSpPr>
        <xdr:cNvPr id="100" name="TextBox 99">
          <a:extLst>
            <a:ext uri="{FF2B5EF4-FFF2-40B4-BE49-F238E27FC236}">
              <a16:creationId xmlns:a16="http://schemas.microsoft.com/office/drawing/2014/main" id="{00000000-0008-0000-0100-000064000000}"/>
            </a:ext>
          </a:extLst>
        </xdr:cNvPr>
        <xdr:cNvSpPr txBox="1"/>
      </xdr:nvSpPr>
      <xdr:spPr>
        <a:xfrm>
          <a:off x="4933950" y="5238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29</xdr:row>
      <xdr:rowOff>53915</xdr:rowOff>
    </xdr:from>
    <xdr:ext cx="184731" cy="264560"/>
    <xdr:sp macro="" textlink="">
      <xdr:nvSpPr>
        <xdr:cNvPr id="101" name="TextBox 100">
          <a:extLst>
            <a:ext uri="{FF2B5EF4-FFF2-40B4-BE49-F238E27FC236}">
              <a16:creationId xmlns:a16="http://schemas.microsoft.com/office/drawing/2014/main" id="{00000000-0008-0000-0100-000065000000}"/>
            </a:ext>
          </a:extLst>
        </xdr:cNvPr>
        <xdr:cNvSpPr txBox="1"/>
      </xdr:nvSpPr>
      <xdr:spPr>
        <a:xfrm>
          <a:off x="4933950" y="52926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29</xdr:row>
      <xdr:rowOff>53915</xdr:rowOff>
    </xdr:from>
    <xdr:ext cx="184731" cy="264560"/>
    <xdr:sp macro="" textlink="">
      <xdr:nvSpPr>
        <xdr:cNvPr id="102" name="TextBox 101">
          <a:extLst>
            <a:ext uri="{FF2B5EF4-FFF2-40B4-BE49-F238E27FC236}">
              <a16:creationId xmlns:a16="http://schemas.microsoft.com/office/drawing/2014/main" id="{00000000-0008-0000-0100-000066000000}"/>
            </a:ext>
          </a:extLst>
        </xdr:cNvPr>
        <xdr:cNvSpPr txBox="1"/>
      </xdr:nvSpPr>
      <xdr:spPr>
        <a:xfrm>
          <a:off x="4933950" y="52926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29</xdr:row>
      <xdr:rowOff>53915</xdr:rowOff>
    </xdr:from>
    <xdr:ext cx="184731" cy="264560"/>
    <xdr:sp macro="" textlink="">
      <xdr:nvSpPr>
        <xdr:cNvPr id="103" name="TextBox 102">
          <a:extLst>
            <a:ext uri="{FF2B5EF4-FFF2-40B4-BE49-F238E27FC236}">
              <a16:creationId xmlns:a16="http://schemas.microsoft.com/office/drawing/2014/main" id="{00000000-0008-0000-0100-000067000000}"/>
            </a:ext>
          </a:extLst>
        </xdr:cNvPr>
        <xdr:cNvSpPr txBox="1"/>
      </xdr:nvSpPr>
      <xdr:spPr>
        <a:xfrm>
          <a:off x="4933950" y="52926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29</xdr:row>
      <xdr:rowOff>53915</xdr:rowOff>
    </xdr:from>
    <xdr:ext cx="184731" cy="264560"/>
    <xdr:sp macro="" textlink="">
      <xdr:nvSpPr>
        <xdr:cNvPr id="104" name="TextBox 103">
          <a:extLst>
            <a:ext uri="{FF2B5EF4-FFF2-40B4-BE49-F238E27FC236}">
              <a16:creationId xmlns:a16="http://schemas.microsoft.com/office/drawing/2014/main" id="{00000000-0008-0000-0100-000068000000}"/>
            </a:ext>
          </a:extLst>
        </xdr:cNvPr>
        <xdr:cNvSpPr txBox="1"/>
      </xdr:nvSpPr>
      <xdr:spPr>
        <a:xfrm>
          <a:off x="4933950" y="52926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29</xdr:row>
      <xdr:rowOff>0</xdr:rowOff>
    </xdr:from>
    <xdr:ext cx="184731" cy="264560"/>
    <xdr:sp macro="" textlink="">
      <xdr:nvSpPr>
        <xdr:cNvPr id="105" name="TextBox 104">
          <a:extLst>
            <a:ext uri="{FF2B5EF4-FFF2-40B4-BE49-F238E27FC236}">
              <a16:creationId xmlns:a16="http://schemas.microsoft.com/office/drawing/2014/main" id="{00000000-0008-0000-0100-000069000000}"/>
            </a:ext>
          </a:extLst>
        </xdr:cNvPr>
        <xdr:cNvSpPr txBox="1"/>
      </xdr:nvSpPr>
      <xdr:spPr>
        <a:xfrm>
          <a:off x="4933950" y="5238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29</xdr:row>
      <xdr:rowOff>53915</xdr:rowOff>
    </xdr:from>
    <xdr:ext cx="184731" cy="264560"/>
    <xdr:sp macro="" textlink="">
      <xdr:nvSpPr>
        <xdr:cNvPr id="106" name="TextBox 105">
          <a:extLst>
            <a:ext uri="{FF2B5EF4-FFF2-40B4-BE49-F238E27FC236}">
              <a16:creationId xmlns:a16="http://schemas.microsoft.com/office/drawing/2014/main" id="{00000000-0008-0000-0100-00006A000000}"/>
            </a:ext>
          </a:extLst>
        </xdr:cNvPr>
        <xdr:cNvSpPr txBox="1"/>
      </xdr:nvSpPr>
      <xdr:spPr>
        <a:xfrm>
          <a:off x="4933950" y="52926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30</xdr:row>
      <xdr:rowOff>53915</xdr:rowOff>
    </xdr:from>
    <xdr:ext cx="184731" cy="264560"/>
    <xdr:sp macro="" textlink="">
      <xdr:nvSpPr>
        <xdr:cNvPr id="107" name="TextBox 106">
          <a:extLst>
            <a:ext uri="{FF2B5EF4-FFF2-40B4-BE49-F238E27FC236}">
              <a16:creationId xmlns:a16="http://schemas.microsoft.com/office/drawing/2014/main" id="{00000000-0008-0000-0100-00006B000000}"/>
            </a:ext>
          </a:extLst>
        </xdr:cNvPr>
        <xdr:cNvSpPr txBox="1"/>
      </xdr:nvSpPr>
      <xdr:spPr>
        <a:xfrm>
          <a:off x="4933950" y="54926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30</xdr:row>
      <xdr:rowOff>53915</xdr:rowOff>
    </xdr:from>
    <xdr:ext cx="184731" cy="264560"/>
    <xdr:sp macro="" textlink="">
      <xdr:nvSpPr>
        <xdr:cNvPr id="108" name="TextBox 107">
          <a:extLst>
            <a:ext uri="{FF2B5EF4-FFF2-40B4-BE49-F238E27FC236}">
              <a16:creationId xmlns:a16="http://schemas.microsoft.com/office/drawing/2014/main" id="{00000000-0008-0000-0100-00006C000000}"/>
            </a:ext>
          </a:extLst>
        </xdr:cNvPr>
        <xdr:cNvSpPr txBox="1"/>
      </xdr:nvSpPr>
      <xdr:spPr>
        <a:xfrm>
          <a:off x="4933950" y="54926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30</xdr:row>
      <xdr:rowOff>53915</xdr:rowOff>
    </xdr:from>
    <xdr:ext cx="184731" cy="264560"/>
    <xdr:sp macro="" textlink="">
      <xdr:nvSpPr>
        <xdr:cNvPr id="109" name="TextBox 108">
          <a:extLst>
            <a:ext uri="{FF2B5EF4-FFF2-40B4-BE49-F238E27FC236}">
              <a16:creationId xmlns:a16="http://schemas.microsoft.com/office/drawing/2014/main" id="{00000000-0008-0000-0100-00006D000000}"/>
            </a:ext>
          </a:extLst>
        </xdr:cNvPr>
        <xdr:cNvSpPr txBox="1"/>
      </xdr:nvSpPr>
      <xdr:spPr>
        <a:xfrm>
          <a:off x="4933950" y="54926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30</xdr:row>
      <xdr:rowOff>0</xdr:rowOff>
    </xdr:from>
    <xdr:ext cx="184731" cy="264560"/>
    <xdr:sp macro="" textlink="">
      <xdr:nvSpPr>
        <xdr:cNvPr id="110" name="TextBox 109">
          <a:extLst>
            <a:ext uri="{FF2B5EF4-FFF2-40B4-BE49-F238E27FC236}">
              <a16:creationId xmlns:a16="http://schemas.microsoft.com/office/drawing/2014/main" id="{00000000-0008-0000-0100-00006E000000}"/>
            </a:ext>
          </a:extLst>
        </xdr:cNvPr>
        <xdr:cNvSpPr txBox="1"/>
      </xdr:nvSpPr>
      <xdr:spPr>
        <a:xfrm>
          <a:off x="4933950" y="5438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30</xdr:row>
      <xdr:rowOff>53915</xdr:rowOff>
    </xdr:from>
    <xdr:ext cx="184731" cy="264560"/>
    <xdr:sp macro="" textlink="">
      <xdr:nvSpPr>
        <xdr:cNvPr id="111" name="TextBox 110">
          <a:extLst>
            <a:ext uri="{FF2B5EF4-FFF2-40B4-BE49-F238E27FC236}">
              <a16:creationId xmlns:a16="http://schemas.microsoft.com/office/drawing/2014/main" id="{00000000-0008-0000-0100-00006F000000}"/>
            </a:ext>
          </a:extLst>
        </xdr:cNvPr>
        <xdr:cNvSpPr txBox="1"/>
      </xdr:nvSpPr>
      <xdr:spPr>
        <a:xfrm>
          <a:off x="4933950" y="54926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29</xdr:row>
      <xdr:rowOff>53915</xdr:rowOff>
    </xdr:from>
    <xdr:ext cx="184731" cy="264560"/>
    <xdr:sp macro="" textlink="">
      <xdr:nvSpPr>
        <xdr:cNvPr id="112" name="TextBox 111">
          <a:extLst>
            <a:ext uri="{FF2B5EF4-FFF2-40B4-BE49-F238E27FC236}">
              <a16:creationId xmlns:a16="http://schemas.microsoft.com/office/drawing/2014/main" id="{00000000-0008-0000-0100-000070000000}"/>
            </a:ext>
          </a:extLst>
        </xdr:cNvPr>
        <xdr:cNvSpPr txBox="1"/>
      </xdr:nvSpPr>
      <xdr:spPr>
        <a:xfrm>
          <a:off x="4933950" y="52926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29</xdr:row>
      <xdr:rowOff>53915</xdr:rowOff>
    </xdr:from>
    <xdr:ext cx="184731" cy="264560"/>
    <xdr:sp macro="" textlink="">
      <xdr:nvSpPr>
        <xdr:cNvPr id="113" name="TextBox 112">
          <a:extLst>
            <a:ext uri="{FF2B5EF4-FFF2-40B4-BE49-F238E27FC236}">
              <a16:creationId xmlns:a16="http://schemas.microsoft.com/office/drawing/2014/main" id="{00000000-0008-0000-0100-000071000000}"/>
            </a:ext>
          </a:extLst>
        </xdr:cNvPr>
        <xdr:cNvSpPr txBox="1"/>
      </xdr:nvSpPr>
      <xdr:spPr>
        <a:xfrm>
          <a:off x="4933950" y="52926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29</xdr:row>
      <xdr:rowOff>53915</xdr:rowOff>
    </xdr:from>
    <xdr:ext cx="184731" cy="264560"/>
    <xdr:sp macro="" textlink="">
      <xdr:nvSpPr>
        <xdr:cNvPr id="114" name="TextBox 113">
          <a:extLst>
            <a:ext uri="{FF2B5EF4-FFF2-40B4-BE49-F238E27FC236}">
              <a16:creationId xmlns:a16="http://schemas.microsoft.com/office/drawing/2014/main" id="{00000000-0008-0000-0100-000072000000}"/>
            </a:ext>
          </a:extLst>
        </xdr:cNvPr>
        <xdr:cNvSpPr txBox="1"/>
      </xdr:nvSpPr>
      <xdr:spPr>
        <a:xfrm>
          <a:off x="4933950" y="52926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29</xdr:row>
      <xdr:rowOff>0</xdr:rowOff>
    </xdr:from>
    <xdr:ext cx="184731" cy="264560"/>
    <xdr:sp macro="" textlink="">
      <xdr:nvSpPr>
        <xdr:cNvPr id="115" name="TextBox 114">
          <a:extLst>
            <a:ext uri="{FF2B5EF4-FFF2-40B4-BE49-F238E27FC236}">
              <a16:creationId xmlns:a16="http://schemas.microsoft.com/office/drawing/2014/main" id="{00000000-0008-0000-0100-000073000000}"/>
            </a:ext>
          </a:extLst>
        </xdr:cNvPr>
        <xdr:cNvSpPr txBox="1"/>
      </xdr:nvSpPr>
      <xdr:spPr>
        <a:xfrm>
          <a:off x="4933950" y="5238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29</xdr:row>
      <xdr:rowOff>53915</xdr:rowOff>
    </xdr:from>
    <xdr:ext cx="184731" cy="264560"/>
    <xdr:sp macro="" textlink="">
      <xdr:nvSpPr>
        <xdr:cNvPr id="116" name="TextBox 115">
          <a:extLst>
            <a:ext uri="{FF2B5EF4-FFF2-40B4-BE49-F238E27FC236}">
              <a16:creationId xmlns:a16="http://schemas.microsoft.com/office/drawing/2014/main" id="{00000000-0008-0000-0100-000074000000}"/>
            </a:ext>
          </a:extLst>
        </xdr:cNvPr>
        <xdr:cNvSpPr txBox="1"/>
      </xdr:nvSpPr>
      <xdr:spPr>
        <a:xfrm>
          <a:off x="4933950" y="52926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30</xdr:row>
      <xdr:rowOff>53915</xdr:rowOff>
    </xdr:from>
    <xdr:ext cx="184731" cy="264560"/>
    <xdr:sp macro="" textlink="">
      <xdr:nvSpPr>
        <xdr:cNvPr id="117" name="TextBox 116">
          <a:extLst>
            <a:ext uri="{FF2B5EF4-FFF2-40B4-BE49-F238E27FC236}">
              <a16:creationId xmlns:a16="http://schemas.microsoft.com/office/drawing/2014/main" id="{00000000-0008-0000-0100-000075000000}"/>
            </a:ext>
          </a:extLst>
        </xdr:cNvPr>
        <xdr:cNvSpPr txBox="1"/>
      </xdr:nvSpPr>
      <xdr:spPr>
        <a:xfrm>
          <a:off x="4933950" y="54926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30</xdr:row>
      <xdr:rowOff>53915</xdr:rowOff>
    </xdr:from>
    <xdr:ext cx="184731" cy="264560"/>
    <xdr:sp macro="" textlink="">
      <xdr:nvSpPr>
        <xdr:cNvPr id="118" name="TextBox 117">
          <a:extLst>
            <a:ext uri="{FF2B5EF4-FFF2-40B4-BE49-F238E27FC236}">
              <a16:creationId xmlns:a16="http://schemas.microsoft.com/office/drawing/2014/main" id="{00000000-0008-0000-0100-000076000000}"/>
            </a:ext>
          </a:extLst>
        </xdr:cNvPr>
        <xdr:cNvSpPr txBox="1"/>
      </xdr:nvSpPr>
      <xdr:spPr>
        <a:xfrm>
          <a:off x="4933950" y="54926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30</xdr:row>
      <xdr:rowOff>53915</xdr:rowOff>
    </xdr:from>
    <xdr:ext cx="184731" cy="264560"/>
    <xdr:sp macro="" textlink="">
      <xdr:nvSpPr>
        <xdr:cNvPr id="119" name="TextBox 118">
          <a:extLst>
            <a:ext uri="{FF2B5EF4-FFF2-40B4-BE49-F238E27FC236}">
              <a16:creationId xmlns:a16="http://schemas.microsoft.com/office/drawing/2014/main" id="{00000000-0008-0000-0100-000077000000}"/>
            </a:ext>
          </a:extLst>
        </xdr:cNvPr>
        <xdr:cNvSpPr txBox="1"/>
      </xdr:nvSpPr>
      <xdr:spPr>
        <a:xfrm>
          <a:off x="4933950" y="54926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30</xdr:row>
      <xdr:rowOff>0</xdr:rowOff>
    </xdr:from>
    <xdr:ext cx="184731" cy="264560"/>
    <xdr:sp macro="" textlink="">
      <xdr:nvSpPr>
        <xdr:cNvPr id="120" name="TextBox 119">
          <a:extLst>
            <a:ext uri="{FF2B5EF4-FFF2-40B4-BE49-F238E27FC236}">
              <a16:creationId xmlns:a16="http://schemas.microsoft.com/office/drawing/2014/main" id="{00000000-0008-0000-0100-000078000000}"/>
            </a:ext>
          </a:extLst>
        </xdr:cNvPr>
        <xdr:cNvSpPr txBox="1"/>
      </xdr:nvSpPr>
      <xdr:spPr>
        <a:xfrm>
          <a:off x="4933950" y="5438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30</xdr:row>
      <xdr:rowOff>53915</xdr:rowOff>
    </xdr:from>
    <xdr:ext cx="184731" cy="264560"/>
    <xdr:sp macro="" textlink="">
      <xdr:nvSpPr>
        <xdr:cNvPr id="121" name="TextBox 120">
          <a:extLst>
            <a:ext uri="{FF2B5EF4-FFF2-40B4-BE49-F238E27FC236}">
              <a16:creationId xmlns:a16="http://schemas.microsoft.com/office/drawing/2014/main" id="{00000000-0008-0000-0100-000079000000}"/>
            </a:ext>
          </a:extLst>
        </xdr:cNvPr>
        <xdr:cNvSpPr txBox="1"/>
      </xdr:nvSpPr>
      <xdr:spPr>
        <a:xfrm>
          <a:off x="4933950" y="54926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29</xdr:row>
      <xdr:rowOff>53915</xdr:rowOff>
    </xdr:from>
    <xdr:ext cx="184731" cy="264560"/>
    <xdr:sp macro="" textlink="">
      <xdr:nvSpPr>
        <xdr:cNvPr id="122" name="TextBox 121">
          <a:extLst>
            <a:ext uri="{FF2B5EF4-FFF2-40B4-BE49-F238E27FC236}">
              <a16:creationId xmlns:a16="http://schemas.microsoft.com/office/drawing/2014/main" id="{00000000-0008-0000-0100-00007A000000}"/>
            </a:ext>
          </a:extLst>
        </xdr:cNvPr>
        <xdr:cNvSpPr txBox="1"/>
      </xdr:nvSpPr>
      <xdr:spPr>
        <a:xfrm>
          <a:off x="4933950" y="52926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29</xdr:row>
      <xdr:rowOff>53915</xdr:rowOff>
    </xdr:from>
    <xdr:ext cx="184731" cy="264560"/>
    <xdr:sp macro="" textlink="">
      <xdr:nvSpPr>
        <xdr:cNvPr id="123" name="TextBox 122">
          <a:extLst>
            <a:ext uri="{FF2B5EF4-FFF2-40B4-BE49-F238E27FC236}">
              <a16:creationId xmlns:a16="http://schemas.microsoft.com/office/drawing/2014/main" id="{00000000-0008-0000-0100-00007B000000}"/>
            </a:ext>
          </a:extLst>
        </xdr:cNvPr>
        <xdr:cNvSpPr txBox="1"/>
      </xdr:nvSpPr>
      <xdr:spPr>
        <a:xfrm>
          <a:off x="4933950" y="52926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29</xdr:row>
      <xdr:rowOff>53915</xdr:rowOff>
    </xdr:from>
    <xdr:ext cx="184731" cy="264560"/>
    <xdr:sp macro="" textlink="">
      <xdr:nvSpPr>
        <xdr:cNvPr id="124" name="TextBox 123">
          <a:extLst>
            <a:ext uri="{FF2B5EF4-FFF2-40B4-BE49-F238E27FC236}">
              <a16:creationId xmlns:a16="http://schemas.microsoft.com/office/drawing/2014/main" id="{00000000-0008-0000-0100-00007C000000}"/>
            </a:ext>
          </a:extLst>
        </xdr:cNvPr>
        <xdr:cNvSpPr txBox="1"/>
      </xdr:nvSpPr>
      <xdr:spPr>
        <a:xfrm>
          <a:off x="4933950" y="52926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29</xdr:row>
      <xdr:rowOff>0</xdr:rowOff>
    </xdr:from>
    <xdr:ext cx="184731" cy="264560"/>
    <xdr:sp macro="" textlink="">
      <xdr:nvSpPr>
        <xdr:cNvPr id="125" name="TextBox 124">
          <a:extLst>
            <a:ext uri="{FF2B5EF4-FFF2-40B4-BE49-F238E27FC236}">
              <a16:creationId xmlns:a16="http://schemas.microsoft.com/office/drawing/2014/main" id="{00000000-0008-0000-0100-00007D000000}"/>
            </a:ext>
          </a:extLst>
        </xdr:cNvPr>
        <xdr:cNvSpPr txBox="1"/>
      </xdr:nvSpPr>
      <xdr:spPr>
        <a:xfrm>
          <a:off x="4933950" y="5238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29</xdr:row>
      <xdr:rowOff>53915</xdr:rowOff>
    </xdr:from>
    <xdr:ext cx="184731" cy="264560"/>
    <xdr:sp macro="" textlink="">
      <xdr:nvSpPr>
        <xdr:cNvPr id="126" name="TextBox 125">
          <a:extLst>
            <a:ext uri="{FF2B5EF4-FFF2-40B4-BE49-F238E27FC236}">
              <a16:creationId xmlns:a16="http://schemas.microsoft.com/office/drawing/2014/main" id="{00000000-0008-0000-0100-00007E000000}"/>
            </a:ext>
          </a:extLst>
        </xdr:cNvPr>
        <xdr:cNvSpPr txBox="1"/>
      </xdr:nvSpPr>
      <xdr:spPr>
        <a:xfrm>
          <a:off x="4933950" y="52926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30</xdr:row>
      <xdr:rowOff>53915</xdr:rowOff>
    </xdr:from>
    <xdr:ext cx="184731" cy="264560"/>
    <xdr:sp macro="" textlink="">
      <xdr:nvSpPr>
        <xdr:cNvPr id="127" name="TextBox 126">
          <a:extLst>
            <a:ext uri="{FF2B5EF4-FFF2-40B4-BE49-F238E27FC236}">
              <a16:creationId xmlns:a16="http://schemas.microsoft.com/office/drawing/2014/main" id="{00000000-0008-0000-0100-00007F000000}"/>
            </a:ext>
          </a:extLst>
        </xdr:cNvPr>
        <xdr:cNvSpPr txBox="1"/>
      </xdr:nvSpPr>
      <xdr:spPr>
        <a:xfrm>
          <a:off x="4933950" y="54926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30</xdr:row>
      <xdr:rowOff>53915</xdr:rowOff>
    </xdr:from>
    <xdr:ext cx="184731" cy="264560"/>
    <xdr:sp macro="" textlink="">
      <xdr:nvSpPr>
        <xdr:cNvPr id="128" name="TextBox 127">
          <a:extLst>
            <a:ext uri="{FF2B5EF4-FFF2-40B4-BE49-F238E27FC236}">
              <a16:creationId xmlns:a16="http://schemas.microsoft.com/office/drawing/2014/main" id="{00000000-0008-0000-0100-000080000000}"/>
            </a:ext>
          </a:extLst>
        </xdr:cNvPr>
        <xdr:cNvSpPr txBox="1"/>
      </xdr:nvSpPr>
      <xdr:spPr>
        <a:xfrm>
          <a:off x="4933950" y="54926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30</xdr:row>
      <xdr:rowOff>53915</xdr:rowOff>
    </xdr:from>
    <xdr:ext cx="184731" cy="264560"/>
    <xdr:sp macro="" textlink="">
      <xdr:nvSpPr>
        <xdr:cNvPr id="129" name="TextBox 128">
          <a:extLst>
            <a:ext uri="{FF2B5EF4-FFF2-40B4-BE49-F238E27FC236}">
              <a16:creationId xmlns:a16="http://schemas.microsoft.com/office/drawing/2014/main" id="{00000000-0008-0000-0100-000081000000}"/>
            </a:ext>
          </a:extLst>
        </xdr:cNvPr>
        <xdr:cNvSpPr txBox="1"/>
      </xdr:nvSpPr>
      <xdr:spPr>
        <a:xfrm>
          <a:off x="4933950" y="54926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30</xdr:row>
      <xdr:rowOff>0</xdr:rowOff>
    </xdr:from>
    <xdr:ext cx="184731" cy="264560"/>
    <xdr:sp macro="" textlink="">
      <xdr:nvSpPr>
        <xdr:cNvPr id="130" name="TextBox 129">
          <a:extLst>
            <a:ext uri="{FF2B5EF4-FFF2-40B4-BE49-F238E27FC236}">
              <a16:creationId xmlns:a16="http://schemas.microsoft.com/office/drawing/2014/main" id="{00000000-0008-0000-0100-000082000000}"/>
            </a:ext>
          </a:extLst>
        </xdr:cNvPr>
        <xdr:cNvSpPr txBox="1"/>
      </xdr:nvSpPr>
      <xdr:spPr>
        <a:xfrm>
          <a:off x="4933950" y="5438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30</xdr:row>
      <xdr:rowOff>53915</xdr:rowOff>
    </xdr:from>
    <xdr:ext cx="184731" cy="264560"/>
    <xdr:sp macro="" textlink="">
      <xdr:nvSpPr>
        <xdr:cNvPr id="131" name="TextBox 130">
          <a:extLst>
            <a:ext uri="{FF2B5EF4-FFF2-40B4-BE49-F238E27FC236}">
              <a16:creationId xmlns:a16="http://schemas.microsoft.com/office/drawing/2014/main" id="{00000000-0008-0000-0100-000083000000}"/>
            </a:ext>
          </a:extLst>
        </xdr:cNvPr>
        <xdr:cNvSpPr txBox="1"/>
      </xdr:nvSpPr>
      <xdr:spPr>
        <a:xfrm>
          <a:off x="4933950" y="54926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29</xdr:row>
      <xdr:rowOff>53915</xdr:rowOff>
    </xdr:from>
    <xdr:ext cx="184731" cy="264560"/>
    <xdr:sp macro="" textlink="">
      <xdr:nvSpPr>
        <xdr:cNvPr id="132" name="TextBox 131">
          <a:extLst>
            <a:ext uri="{FF2B5EF4-FFF2-40B4-BE49-F238E27FC236}">
              <a16:creationId xmlns:a16="http://schemas.microsoft.com/office/drawing/2014/main" id="{00000000-0008-0000-0100-000084000000}"/>
            </a:ext>
          </a:extLst>
        </xdr:cNvPr>
        <xdr:cNvSpPr txBox="1"/>
      </xdr:nvSpPr>
      <xdr:spPr>
        <a:xfrm>
          <a:off x="4933950" y="52926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29</xdr:row>
      <xdr:rowOff>53915</xdr:rowOff>
    </xdr:from>
    <xdr:ext cx="184731" cy="264560"/>
    <xdr:sp macro="" textlink="">
      <xdr:nvSpPr>
        <xdr:cNvPr id="133" name="TextBox 132">
          <a:extLst>
            <a:ext uri="{FF2B5EF4-FFF2-40B4-BE49-F238E27FC236}">
              <a16:creationId xmlns:a16="http://schemas.microsoft.com/office/drawing/2014/main" id="{00000000-0008-0000-0100-000085000000}"/>
            </a:ext>
          </a:extLst>
        </xdr:cNvPr>
        <xdr:cNvSpPr txBox="1"/>
      </xdr:nvSpPr>
      <xdr:spPr>
        <a:xfrm>
          <a:off x="4933950" y="52926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29</xdr:row>
      <xdr:rowOff>53915</xdr:rowOff>
    </xdr:from>
    <xdr:ext cx="184731" cy="264560"/>
    <xdr:sp macro="" textlink="">
      <xdr:nvSpPr>
        <xdr:cNvPr id="134" name="TextBox 133">
          <a:extLst>
            <a:ext uri="{FF2B5EF4-FFF2-40B4-BE49-F238E27FC236}">
              <a16:creationId xmlns:a16="http://schemas.microsoft.com/office/drawing/2014/main" id="{00000000-0008-0000-0100-000086000000}"/>
            </a:ext>
          </a:extLst>
        </xdr:cNvPr>
        <xdr:cNvSpPr txBox="1"/>
      </xdr:nvSpPr>
      <xdr:spPr>
        <a:xfrm>
          <a:off x="4933950" y="52926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29</xdr:row>
      <xdr:rowOff>0</xdr:rowOff>
    </xdr:from>
    <xdr:ext cx="184731" cy="264560"/>
    <xdr:sp macro="" textlink="">
      <xdr:nvSpPr>
        <xdr:cNvPr id="135" name="TextBox 134">
          <a:extLst>
            <a:ext uri="{FF2B5EF4-FFF2-40B4-BE49-F238E27FC236}">
              <a16:creationId xmlns:a16="http://schemas.microsoft.com/office/drawing/2014/main" id="{00000000-0008-0000-0100-000087000000}"/>
            </a:ext>
          </a:extLst>
        </xdr:cNvPr>
        <xdr:cNvSpPr txBox="1"/>
      </xdr:nvSpPr>
      <xdr:spPr>
        <a:xfrm>
          <a:off x="4933950" y="5238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29</xdr:row>
      <xdr:rowOff>53915</xdr:rowOff>
    </xdr:from>
    <xdr:ext cx="184731" cy="264560"/>
    <xdr:sp macro="" textlink="">
      <xdr:nvSpPr>
        <xdr:cNvPr id="136" name="TextBox 135">
          <a:extLst>
            <a:ext uri="{FF2B5EF4-FFF2-40B4-BE49-F238E27FC236}">
              <a16:creationId xmlns:a16="http://schemas.microsoft.com/office/drawing/2014/main" id="{00000000-0008-0000-0100-000088000000}"/>
            </a:ext>
          </a:extLst>
        </xdr:cNvPr>
        <xdr:cNvSpPr txBox="1"/>
      </xdr:nvSpPr>
      <xdr:spPr>
        <a:xfrm>
          <a:off x="4933950" y="52926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30</xdr:row>
      <xdr:rowOff>53915</xdr:rowOff>
    </xdr:from>
    <xdr:ext cx="184731" cy="264560"/>
    <xdr:sp macro="" textlink="">
      <xdr:nvSpPr>
        <xdr:cNvPr id="137" name="TextBox 136">
          <a:extLst>
            <a:ext uri="{FF2B5EF4-FFF2-40B4-BE49-F238E27FC236}">
              <a16:creationId xmlns:a16="http://schemas.microsoft.com/office/drawing/2014/main" id="{00000000-0008-0000-0100-000089000000}"/>
            </a:ext>
          </a:extLst>
        </xdr:cNvPr>
        <xdr:cNvSpPr txBox="1"/>
      </xdr:nvSpPr>
      <xdr:spPr>
        <a:xfrm>
          <a:off x="4933950" y="54926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30</xdr:row>
      <xdr:rowOff>53915</xdr:rowOff>
    </xdr:from>
    <xdr:ext cx="184731" cy="264560"/>
    <xdr:sp macro="" textlink="">
      <xdr:nvSpPr>
        <xdr:cNvPr id="138" name="TextBox 137">
          <a:extLst>
            <a:ext uri="{FF2B5EF4-FFF2-40B4-BE49-F238E27FC236}">
              <a16:creationId xmlns:a16="http://schemas.microsoft.com/office/drawing/2014/main" id="{00000000-0008-0000-0100-00008A000000}"/>
            </a:ext>
          </a:extLst>
        </xdr:cNvPr>
        <xdr:cNvSpPr txBox="1"/>
      </xdr:nvSpPr>
      <xdr:spPr>
        <a:xfrm>
          <a:off x="4933950" y="54926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30</xdr:row>
      <xdr:rowOff>53915</xdr:rowOff>
    </xdr:from>
    <xdr:ext cx="184731" cy="264560"/>
    <xdr:sp macro="" textlink="">
      <xdr:nvSpPr>
        <xdr:cNvPr id="139" name="TextBox 138">
          <a:extLst>
            <a:ext uri="{FF2B5EF4-FFF2-40B4-BE49-F238E27FC236}">
              <a16:creationId xmlns:a16="http://schemas.microsoft.com/office/drawing/2014/main" id="{00000000-0008-0000-0100-00008B000000}"/>
            </a:ext>
          </a:extLst>
        </xdr:cNvPr>
        <xdr:cNvSpPr txBox="1"/>
      </xdr:nvSpPr>
      <xdr:spPr>
        <a:xfrm>
          <a:off x="4933950" y="54926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30</xdr:row>
      <xdr:rowOff>0</xdr:rowOff>
    </xdr:from>
    <xdr:ext cx="184731" cy="264560"/>
    <xdr:sp macro="" textlink="">
      <xdr:nvSpPr>
        <xdr:cNvPr id="140" name="TextBox 139">
          <a:extLst>
            <a:ext uri="{FF2B5EF4-FFF2-40B4-BE49-F238E27FC236}">
              <a16:creationId xmlns:a16="http://schemas.microsoft.com/office/drawing/2014/main" id="{00000000-0008-0000-0100-00008C000000}"/>
            </a:ext>
          </a:extLst>
        </xdr:cNvPr>
        <xdr:cNvSpPr txBox="1"/>
      </xdr:nvSpPr>
      <xdr:spPr>
        <a:xfrm>
          <a:off x="4933950" y="5438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30</xdr:row>
      <xdr:rowOff>53915</xdr:rowOff>
    </xdr:from>
    <xdr:ext cx="184731" cy="264560"/>
    <xdr:sp macro="" textlink="">
      <xdr:nvSpPr>
        <xdr:cNvPr id="141" name="TextBox 140">
          <a:extLst>
            <a:ext uri="{FF2B5EF4-FFF2-40B4-BE49-F238E27FC236}">
              <a16:creationId xmlns:a16="http://schemas.microsoft.com/office/drawing/2014/main" id="{00000000-0008-0000-0100-00008D000000}"/>
            </a:ext>
          </a:extLst>
        </xdr:cNvPr>
        <xdr:cNvSpPr txBox="1"/>
      </xdr:nvSpPr>
      <xdr:spPr>
        <a:xfrm>
          <a:off x="4933950" y="54926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36</xdr:row>
      <xdr:rowOff>53915</xdr:rowOff>
    </xdr:from>
    <xdr:ext cx="184731" cy="264560"/>
    <xdr:sp macro="" textlink="">
      <xdr:nvSpPr>
        <xdr:cNvPr id="142" name="TextBox 141">
          <a:extLst>
            <a:ext uri="{FF2B5EF4-FFF2-40B4-BE49-F238E27FC236}">
              <a16:creationId xmlns:a16="http://schemas.microsoft.com/office/drawing/2014/main" id="{00000000-0008-0000-0100-00008E000000}"/>
            </a:ext>
          </a:extLst>
        </xdr:cNvPr>
        <xdr:cNvSpPr txBox="1"/>
      </xdr:nvSpPr>
      <xdr:spPr>
        <a:xfrm>
          <a:off x="4933950" y="6692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36</xdr:row>
      <xdr:rowOff>53915</xdr:rowOff>
    </xdr:from>
    <xdr:ext cx="184731" cy="264560"/>
    <xdr:sp macro="" textlink="">
      <xdr:nvSpPr>
        <xdr:cNvPr id="143" name="TextBox 142">
          <a:extLst>
            <a:ext uri="{FF2B5EF4-FFF2-40B4-BE49-F238E27FC236}">
              <a16:creationId xmlns:a16="http://schemas.microsoft.com/office/drawing/2014/main" id="{00000000-0008-0000-0100-00008F000000}"/>
            </a:ext>
          </a:extLst>
        </xdr:cNvPr>
        <xdr:cNvSpPr txBox="1"/>
      </xdr:nvSpPr>
      <xdr:spPr>
        <a:xfrm>
          <a:off x="4933950" y="6692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36</xdr:row>
      <xdr:rowOff>53915</xdr:rowOff>
    </xdr:from>
    <xdr:ext cx="184731" cy="264560"/>
    <xdr:sp macro="" textlink="">
      <xdr:nvSpPr>
        <xdr:cNvPr id="144" name="TextBox 143">
          <a:extLst>
            <a:ext uri="{FF2B5EF4-FFF2-40B4-BE49-F238E27FC236}">
              <a16:creationId xmlns:a16="http://schemas.microsoft.com/office/drawing/2014/main" id="{00000000-0008-0000-0100-000090000000}"/>
            </a:ext>
          </a:extLst>
        </xdr:cNvPr>
        <xdr:cNvSpPr txBox="1"/>
      </xdr:nvSpPr>
      <xdr:spPr>
        <a:xfrm>
          <a:off x="4933950" y="6692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36</xdr:row>
      <xdr:rowOff>0</xdr:rowOff>
    </xdr:from>
    <xdr:ext cx="184731" cy="264560"/>
    <xdr:sp macro="" textlink="">
      <xdr:nvSpPr>
        <xdr:cNvPr id="145" name="TextBox 144">
          <a:extLst>
            <a:ext uri="{FF2B5EF4-FFF2-40B4-BE49-F238E27FC236}">
              <a16:creationId xmlns:a16="http://schemas.microsoft.com/office/drawing/2014/main" id="{00000000-0008-0000-0100-000091000000}"/>
            </a:ext>
          </a:extLst>
        </xdr:cNvPr>
        <xdr:cNvSpPr txBox="1"/>
      </xdr:nvSpPr>
      <xdr:spPr>
        <a:xfrm>
          <a:off x="4933950" y="6638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36</xdr:row>
      <xdr:rowOff>53915</xdr:rowOff>
    </xdr:from>
    <xdr:ext cx="184731" cy="264560"/>
    <xdr:sp macro="" textlink="">
      <xdr:nvSpPr>
        <xdr:cNvPr id="146" name="TextBox 145">
          <a:extLst>
            <a:ext uri="{FF2B5EF4-FFF2-40B4-BE49-F238E27FC236}">
              <a16:creationId xmlns:a16="http://schemas.microsoft.com/office/drawing/2014/main" id="{00000000-0008-0000-0100-000092000000}"/>
            </a:ext>
          </a:extLst>
        </xdr:cNvPr>
        <xdr:cNvSpPr txBox="1"/>
      </xdr:nvSpPr>
      <xdr:spPr>
        <a:xfrm>
          <a:off x="4933950" y="6692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36</xdr:row>
      <xdr:rowOff>53915</xdr:rowOff>
    </xdr:from>
    <xdr:ext cx="184731" cy="264560"/>
    <xdr:sp macro="" textlink="">
      <xdr:nvSpPr>
        <xdr:cNvPr id="147" name="TextBox 146">
          <a:extLst>
            <a:ext uri="{FF2B5EF4-FFF2-40B4-BE49-F238E27FC236}">
              <a16:creationId xmlns:a16="http://schemas.microsoft.com/office/drawing/2014/main" id="{00000000-0008-0000-0100-000093000000}"/>
            </a:ext>
          </a:extLst>
        </xdr:cNvPr>
        <xdr:cNvSpPr txBox="1"/>
      </xdr:nvSpPr>
      <xdr:spPr>
        <a:xfrm>
          <a:off x="4933950" y="6692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36</xdr:row>
      <xdr:rowOff>53915</xdr:rowOff>
    </xdr:from>
    <xdr:ext cx="184731" cy="264560"/>
    <xdr:sp macro="" textlink="">
      <xdr:nvSpPr>
        <xdr:cNvPr id="148" name="TextBox 147">
          <a:extLst>
            <a:ext uri="{FF2B5EF4-FFF2-40B4-BE49-F238E27FC236}">
              <a16:creationId xmlns:a16="http://schemas.microsoft.com/office/drawing/2014/main" id="{00000000-0008-0000-0100-000094000000}"/>
            </a:ext>
          </a:extLst>
        </xdr:cNvPr>
        <xdr:cNvSpPr txBox="1"/>
      </xdr:nvSpPr>
      <xdr:spPr>
        <a:xfrm>
          <a:off x="4933950" y="6692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36</xdr:row>
      <xdr:rowOff>53915</xdr:rowOff>
    </xdr:from>
    <xdr:ext cx="184731" cy="264560"/>
    <xdr:sp macro="" textlink="">
      <xdr:nvSpPr>
        <xdr:cNvPr id="149" name="TextBox 148">
          <a:extLst>
            <a:ext uri="{FF2B5EF4-FFF2-40B4-BE49-F238E27FC236}">
              <a16:creationId xmlns:a16="http://schemas.microsoft.com/office/drawing/2014/main" id="{00000000-0008-0000-0100-000095000000}"/>
            </a:ext>
          </a:extLst>
        </xdr:cNvPr>
        <xdr:cNvSpPr txBox="1"/>
      </xdr:nvSpPr>
      <xdr:spPr>
        <a:xfrm>
          <a:off x="4933950" y="6692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36</xdr:row>
      <xdr:rowOff>0</xdr:rowOff>
    </xdr:from>
    <xdr:ext cx="184731" cy="264560"/>
    <xdr:sp macro="" textlink="">
      <xdr:nvSpPr>
        <xdr:cNvPr id="150" name="TextBox 149">
          <a:extLst>
            <a:ext uri="{FF2B5EF4-FFF2-40B4-BE49-F238E27FC236}">
              <a16:creationId xmlns:a16="http://schemas.microsoft.com/office/drawing/2014/main" id="{00000000-0008-0000-0100-000096000000}"/>
            </a:ext>
          </a:extLst>
        </xdr:cNvPr>
        <xdr:cNvSpPr txBox="1"/>
      </xdr:nvSpPr>
      <xdr:spPr>
        <a:xfrm>
          <a:off x="4933950" y="6638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36</xdr:row>
      <xdr:rowOff>53915</xdr:rowOff>
    </xdr:from>
    <xdr:ext cx="184731" cy="264560"/>
    <xdr:sp macro="" textlink="">
      <xdr:nvSpPr>
        <xdr:cNvPr id="151" name="TextBox 150">
          <a:extLst>
            <a:ext uri="{FF2B5EF4-FFF2-40B4-BE49-F238E27FC236}">
              <a16:creationId xmlns:a16="http://schemas.microsoft.com/office/drawing/2014/main" id="{00000000-0008-0000-0100-000097000000}"/>
            </a:ext>
          </a:extLst>
        </xdr:cNvPr>
        <xdr:cNvSpPr txBox="1"/>
      </xdr:nvSpPr>
      <xdr:spPr>
        <a:xfrm>
          <a:off x="4933950" y="6692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36</xdr:row>
      <xdr:rowOff>53915</xdr:rowOff>
    </xdr:from>
    <xdr:ext cx="184731" cy="264560"/>
    <xdr:sp macro="" textlink="">
      <xdr:nvSpPr>
        <xdr:cNvPr id="152" name="TextBox 151">
          <a:extLst>
            <a:ext uri="{FF2B5EF4-FFF2-40B4-BE49-F238E27FC236}">
              <a16:creationId xmlns:a16="http://schemas.microsoft.com/office/drawing/2014/main" id="{00000000-0008-0000-0100-000098000000}"/>
            </a:ext>
          </a:extLst>
        </xdr:cNvPr>
        <xdr:cNvSpPr txBox="1"/>
      </xdr:nvSpPr>
      <xdr:spPr>
        <a:xfrm>
          <a:off x="4933950" y="6692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36</xdr:row>
      <xdr:rowOff>53915</xdr:rowOff>
    </xdr:from>
    <xdr:ext cx="184731" cy="264560"/>
    <xdr:sp macro="" textlink="">
      <xdr:nvSpPr>
        <xdr:cNvPr id="153" name="TextBox 152">
          <a:extLst>
            <a:ext uri="{FF2B5EF4-FFF2-40B4-BE49-F238E27FC236}">
              <a16:creationId xmlns:a16="http://schemas.microsoft.com/office/drawing/2014/main" id="{00000000-0008-0000-0100-000099000000}"/>
            </a:ext>
          </a:extLst>
        </xdr:cNvPr>
        <xdr:cNvSpPr txBox="1"/>
      </xdr:nvSpPr>
      <xdr:spPr>
        <a:xfrm>
          <a:off x="4933950" y="6692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36</xdr:row>
      <xdr:rowOff>53915</xdr:rowOff>
    </xdr:from>
    <xdr:ext cx="184731" cy="264560"/>
    <xdr:sp macro="" textlink="">
      <xdr:nvSpPr>
        <xdr:cNvPr id="154" name="TextBox 153">
          <a:extLst>
            <a:ext uri="{FF2B5EF4-FFF2-40B4-BE49-F238E27FC236}">
              <a16:creationId xmlns:a16="http://schemas.microsoft.com/office/drawing/2014/main" id="{00000000-0008-0000-0100-00009A000000}"/>
            </a:ext>
          </a:extLst>
        </xdr:cNvPr>
        <xdr:cNvSpPr txBox="1"/>
      </xdr:nvSpPr>
      <xdr:spPr>
        <a:xfrm>
          <a:off x="4933950" y="6692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36</xdr:row>
      <xdr:rowOff>0</xdr:rowOff>
    </xdr:from>
    <xdr:ext cx="184731" cy="264560"/>
    <xdr:sp macro="" textlink="">
      <xdr:nvSpPr>
        <xdr:cNvPr id="155" name="TextBox 154">
          <a:extLst>
            <a:ext uri="{FF2B5EF4-FFF2-40B4-BE49-F238E27FC236}">
              <a16:creationId xmlns:a16="http://schemas.microsoft.com/office/drawing/2014/main" id="{00000000-0008-0000-0100-00009B000000}"/>
            </a:ext>
          </a:extLst>
        </xdr:cNvPr>
        <xdr:cNvSpPr txBox="1"/>
      </xdr:nvSpPr>
      <xdr:spPr>
        <a:xfrm>
          <a:off x="4933950" y="6638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36</xdr:row>
      <xdr:rowOff>53915</xdr:rowOff>
    </xdr:from>
    <xdr:ext cx="184731" cy="264560"/>
    <xdr:sp macro="" textlink="">
      <xdr:nvSpPr>
        <xdr:cNvPr id="156" name="TextBox 155">
          <a:extLst>
            <a:ext uri="{FF2B5EF4-FFF2-40B4-BE49-F238E27FC236}">
              <a16:creationId xmlns:a16="http://schemas.microsoft.com/office/drawing/2014/main" id="{00000000-0008-0000-0100-00009C000000}"/>
            </a:ext>
          </a:extLst>
        </xdr:cNvPr>
        <xdr:cNvSpPr txBox="1"/>
      </xdr:nvSpPr>
      <xdr:spPr>
        <a:xfrm>
          <a:off x="4933950" y="6692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37</xdr:row>
      <xdr:rowOff>53915</xdr:rowOff>
    </xdr:from>
    <xdr:ext cx="184731" cy="264560"/>
    <xdr:sp macro="" textlink="">
      <xdr:nvSpPr>
        <xdr:cNvPr id="157" name="TextBox 156">
          <a:extLst>
            <a:ext uri="{FF2B5EF4-FFF2-40B4-BE49-F238E27FC236}">
              <a16:creationId xmlns:a16="http://schemas.microsoft.com/office/drawing/2014/main" id="{00000000-0008-0000-0100-00009D000000}"/>
            </a:ext>
          </a:extLst>
        </xdr:cNvPr>
        <xdr:cNvSpPr txBox="1"/>
      </xdr:nvSpPr>
      <xdr:spPr>
        <a:xfrm>
          <a:off x="4933950" y="68928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37</xdr:row>
      <xdr:rowOff>53915</xdr:rowOff>
    </xdr:from>
    <xdr:ext cx="184731" cy="264560"/>
    <xdr:sp macro="" textlink="">
      <xdr:nvSpPr>
        <xdr:cNvPr id="158" name="TextBox 157">
          <a:extLst>
            <a:ext uri="{FF2B5EF4-FFF2-40B4-BE49-F238E27FC236}">
              <a16:creationId xmlns:a16="http://schemas.microsoft.com/office/drawing/2014/main" id="{00000000-0008-0000-0100-00009E000000}"/>
            </a:ext>
          </a:extLst>
        </xdr:cNvPr>
        <xdr:cNvSpPr txBox="1"/>
      </xdr:nvSpPr>
      <xdr:spPr>
        <a:xfrm>
          <a:off x="4933950" y="68928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37</xdr:row>
      <xdr:rowOff>53915</xdr:rowOff>
    </xdr:from>
    <xdr:ext cx="184731" cy="264560"/>
    <xdr:sp macro="" textlink="">
      <xdr:nvSpPr>
        <xdr:cNvPr id="159" name="TextBox 158">
          <a:extLst>
            <a:ext uri="{FF2B5EF4-FFF2-40B4-BE49-F238E27FC236}">
              <a16:creationId xmlns:a16="http://schemas.microsoft.com/office/drawing/2014/main" id="{00000000-0008-0000-0100-00009F000000}"/>
            </a:ext>
          </a:extLst>
        </xdr:cNvPr>
        <xdr:cNvSpPr txBox="1"/>
      </xdr:nvSpPr>
      <xdr:spPr>
        <a:xfrm>
          <a:off x="4933950" y="68928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37</xdr:row>
      <xdr:rowOff>0</xdr:rowOff>
    </xdr:from>
    <xdr:ext cx="184731" cy="264560"/>
    <xdr:sp macro="" textlink="">
      <xdr:nvSpPr>
        <xdr:cNvPr id="160" name="TextBox 159">
          <a:extLst>
            <a:ext uri="{FF2B5EF4-FFF2-40B4-BE49-F238E27FC236}">
              <a16:creationId xmlns:a16="http://schemas.microsoft.com/office/drawing/2014/main" id="{00000000-0008-0000-0100-0000A0000000}"/>
            </a:ext>
          </a:extLst>
        </xdr:cNvPr>
        <xdr:cNvSpPr txBox="1"/>
      </xdr:nvSpPr>
      <xdr:spPr>
        <a:xfrm>
          <a:off x="4933950" y="6838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37</xdr:row>
      <xdr:rowOff>53915</xdr:rowOff>
    </xdr:from>
    <xdr:ext cx="184731" cy="264560"/>
    <xdr:sp macro="" textlink="">
      <xdr:nvSpPr>
        <xdr:cNvPr id="161" name="TextBox 160">
          <a:extLst>
            <a:ext uri="{FF2B5EF4-FFF2-40B4-BE49-F238E27FC236}">
              <a16:creationId xmlns:a16="http://schemas.microsoft.com/office/drawing/2014/main" id="{00000000-0008-0000-0100-0000A1000000}"/>
            </a:ext>
          </a:extLst>
        </xdr:cNvPr>
        <xdr:cNvSpPr txBox="1"/>
      </xdr:nvSpPr>
      <xdr:spPr>
        <a:xfrm>
          <a:off x="4933950" y="68928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36</xdr:row>
      <xdr:rowOff>53915</xdr:rowOff>
    </xdr:from>
    <xdr:ext cx="184731" cy="264560"/>
    <xdr:sp macro="" textlink="">
      <xdr:nvSpPr>
        <xdr:cNvPr id="162" name="TextBox 161">
          <a:extLst>
            <a:ext uri="{FF2B5EF4-FFF2-40B4-BE49-F238E27FC236}">
              <a16:creationId xmlns:a16="http://schemas.microsoft.com/office/drawing/2014/main" id="{00000000-0008-0000-0100-0000A2000000}"/>
            </a:ext>
          </a:extLst>
        </xdr:cNvPr>
        <xdr:cNvSpPr txBox="1"/>
      </xdr:nvSpPr>
      <xdr:spPr>
        <a:xfrm>
          <a:off x="4933950" y="6692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36</xdr:row>
      <xdr:rowOff>53915</xdr:rowOff>
    </xdr:from>
    <xdr:ext cx="184731" cy="264560"/>
    <xdr:sp macro="" textlink="">
      <xdr:nvSpPr>
        <xdr:cNvPr id="163" name="TextBox 162">
          <a:extLst>
            <a:ext uri="{FF2B5EF4-FFF2-40B4-BE49-F238E27FC236}">
              <a16:creationId xmlns:a16="http://schemas.microsoft.com/office/drawing/2014/main" id="{00000000-0008-0000-0100-0000A3000000}"/>
            </a:ext>
          </a:extLst>
        </xdr:cNvPr>
        <xdr:cNvSpPr txBox="1"/>
      </xdr:nvSpPr>
      <xdr:spPr>
        <a:xfrm>
          <a:off x="4933950" y="6692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36</xdr:row>
      <xdr:rowOff>53915</xdr:rowOff>
    </xdr:from>
    <xdr:ext cx="184731" cy="264560"/>
    <xdr:sp macro="" textlink="">
      <xdr:nvSpPr>
        <xdr:cNvPr id="164" name="TextBox 163">
          <a:extLst>
            <a:ext uri="{FF2B5EF4-FFF2-40B4-BE49-F238E27FC236}">
              <a16:creationId xmlns:a16="http://schemas.microsoft.com/office/drawing/2014/main" id="{00000000-0008-0000-0100-0000A4000000}"/>
            </a:ext>
          </a:extLst>
        </xdr:cNvPr>
        <xdr:cNvSpPr txBox="1"/>
      </xdr:nvSpPr>
      <xdr:spPr>
        <a:xfrm>
          <a:off x="4933950" y="6692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36</xdr:row>
      <xdr:rowOff>0</xdr:rowOff>
    </xdr:from>
    <xdr:ext cx="184731" cy="264560"/>
    <xdr:sp macro="" textlink="">
      <xdr:nvSpPr>
        <xdr:cNvPr id="165" name="TextBox 164">
          <a:extLst>
            <a:ext uri="{FF2B5EF4-FFF2-40B4-BE49-F238E27FC236}">
              <a16:creationId xmlns:a16="http://schemas.microsoft.com/office/drawing/2014/main" id="{00000000-0008-0000-0100-0000A5000000}"/>
            </a:ext>
          </a:extLst>
        </xdr:cNvPr>
        <xdr:cNvSpPr txBox="1"/>
      </xdr:nvSpPr>
      <xdr:spPr>
        <a:xfrm>
          <a:off x="4933950" y="6638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36</xdr:row>
      <xdr:rowOff>53915</xdr:rowOff>
    </xdr:from>
    <xdr:ext cx="184731" cy="264560"/>
    <xdr:sp macro="" textlink="">
      <xdr:nvSpPr>
        <xdr:cNvPr id="166" name="TextBox 165">
          <a:extLst>
            <a:ext uri="{FF2B5EF4-FFF2-40B4-BE49-F238E27FC236}">
              <a16:creationId xmlns:a16="http://schemas.microsoft.com/office/drawing/2014/main" id="{00000000-0008-0000-0100-0000A6000000}"/>
            </a:ext>
          </a:extLst>
        </xdr:cNvPr>
        <xdr:cNvSpPr txBox="1"/>
      </xdr:nvSpPr>
      <xdr:spPr>
        <a:xfrm>
          <a:off x="4933950" y="6692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37</xdr:row>
      <xdr:rowOff>53915</xdr:rowOff>
    </xdr:from>
    <xdr:ext cx="184731" cy="264560"/>
    <xdr:sp macro="" textlink="">
      <xdr:nvSpPr>
        <xdr:cNvPr id="167" name="TextBox 166">
          <a:extLst>
            <a:ext uri="{FF2B5EF4-FFF2-40B4-BE49-F238E27FC236}">
              <a16:creationId xmlns:a16="http://schemas.microsoft.com/office/drawing/2014/main" id="{00000000-0008-0000-0100-0000A7000000}"/>
            </a:ext>
          </a:extLst>
        </xdr:cNvPr>
        <xdr:cNvSpPr txBox="1"/>
      </xdr:nvSpPr>
      <xdr:spPr>
        <a:xfrm>
          <a:off x="4933950" y="68928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37</xdr:row>
      <xdr:rowOff>53915</xdr:rowOff>
    </xdr:from>
    <xdr:ext cx="184731" cy="264560"/>
    <xdr:sp macro="" textlink="">
      <xdr:nvSpPr>
        <xdr:cNvPr id="168" name="TextBox 167">
          <a:extLst>
            <a:ext uri="{FF2B5EF4-FFF2-40B4-BE49-F238E27FC236}">
              <a16:creationId xmlns:a16="http://schemas.microsoft.com/office/drawing/2014/main" id="{00000000-0008-0000-0100-0000A8000000}"/>
            </a:ext>
          </a:extLst>
        </xdr:cNvPr>
        <xdr:cNvSpPr txBox="1"/>
      </xdr:nvSpPr>
      <xdr:spPr>
        <a:xfrm>
          <a:off x="4933950" y="68928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37</xdr:row>
      <xdr:rowOff>53915</xdr:rowOff>
    </xdr:from>
    <xdr:ext cx="184731" cy="264560"/>
    <xdr:sp macro="" textlink="">
      <xdr:nvSpPr>
        <xdr:cNvPr id="169" name="TextBox 168">
          <a:extLst>
            <a:ext uri="{FF2B5EF4-FFF2-40B4-BE49-F238E27FC236}">
              <a16:creationId xmlns:a16="http://schemas.microsoft.com/office/drawing/2014/main" id="{00000000-0008-0000-0100-0000A9000000}"/>
            </a:ext>
          </a:extLst>
        </xdr:cNvPr>
        <xdr:cNvSpPr txBox="1"/>
      </xdr:nvSpPr>
      <xdr:spPr>
        <a:xfrm>
          <a:off x="4933950" y="68928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37</xdr:row>
      <xdr:rowOff>0</xdr:rowOff>
    </xdr:from>
    <xdr:ext cx="184731" cy="264560"/>
    <xdr:sp macro="" textlink="">
      <xdr:nvSpPr>
        <xdr:cNvPr id="170" name="TextBox 169">
          <a:extLst>
            <a:ext uri="{FF2B5EF4-FFF2-40B4-BE49-F238E27FC236}">
              <a16:creationId xmlns:a16="http://schemas.microsoft.com/office/drawing/2014/main" id="{00000000-0008-0000-0100-0000AA000000}"/>
            </a:ext>
          </a:extLst>
        </xdr:cNvPr>
        <xdr:cNvSpPr txBox="1"/>
      </xdr:nvSpPr>
      <xdr:spPr>
        <a:xfrm>
          <a:off x="4933950" y="6838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37</xdr:row>
      <xdr:rowOff>53915</xdr:rowOff>
    </xdr:from>
    <xdr:ext cx="184731" cy="264560"/>
    <xdr:sp macro="" textlink="">
      <xdr:nvSpPr>
        <xdr:cNvPr id="171" name="TextBox 170">
          <a:extLst>
            <a:ext uri="{FF2B5EF4-FFF2-40B4-BE49-F238E27FC236}">
              <a16:creationId xmlns:a16="http://schemas.microsoft.com/office/drawing/2014/main" id="{00000000-0008-0000-0100-0000AB000000}"/>
            </a:ext>
          </a:extLst>
        </xdr:cNvPr>
        <xdr:cNvSpPr txBox="1"/>
      </xdr:nvSpPr>
      <xdr:spPr>
        <a:xfrm>
          <a:off x="4933950" y="68928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36</xdr:row>
      <xdr:rowOff>53915</xdr:rowOff>
    </xdr:from>
    <xdr:ext cx="184731" cy="264560"/>
    <xdr:sp macro="" textlink="">
      <xdr:nvSpPr>
        <xdr:cNvPr id="172" name="TextBox 171">
          <a:extLst>
            <a:ext uri="{FF2B5EF4-FFF2-40B4-BE49-F238E27FC236}">
              <a16:creationId xmlns:a16="http://schemas.microsoft.com/office/drawing/2014/main" id="{00000000-0008-0000-0100-0000AC000000}"/>
            </a:ext>
          </a:extLst>
        </xdr:cNvPr>
        <xdr:cNvSpPr txBox="1"/>
      </xdr:nvSpPr>
      <xdr:spPr>
        <a:xfrm>
          <a:off x="4933950" y="6692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36</xdr:row>
      <xdr:rowOff>53915</xdr:rowOff>
    </xdr:from>
    <xdr:ext cx="184731" cy="264560"/>
    <xdr:sp macro="" textlink="">
      <xdr:nvSpPr>
        <xdr:cNvPr id="173" name="TextBox 172">
          <a:extLst>
            <a:ext uri="{FF2B5EF4-FFF2-40B4-BE49-F238E27FC236}">
              <a16:creationId xmlns:a16="http://schemas.microsoft.com/office/drawing/2014/main" id="{00000000-0008-0000-0100-0000AD000000}"/>
            </a:ext>
          </a:extLst>
        </xdr:cNvPr>
        <xdr:cNvSpPr txBox="1"/>
      </xdr:nvSpPr>
      <xdr:spPr>
        <a:xfrm>
          <a:off x="4933950" y="6692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36</xdr:row>
      <xdr:rowOff>53915</xdr:rowOff>
    </xdr:from>
    <xdr:ext cx="184731" cy="264560"/>
    <xdr:sp macro="" textlink="">
      <xdr:nvSpPr>
        <xdr:cNvPr id="174" name="TextBox 173">
          <a:extLst>
            <a:ext uri="{FF2B5EF4-FFF2-40B4-BE49-F238E27FC236}">
              <a16:creationId xmlns:a16="http://schemas.microsoft.com/office/drawing/2014/main" id="{00000000-0008-0000-0100-0000AE000000}"/>
            </a:ext>
          </a:extLst>
        </xdr:cNvPr>
        <xdr:cNvSpPr txBox="1"/>
      </xdr:nvSpPr>
      <xdr:spPr>
        <a:xfrm>
          <a:off x="4933950" y="6692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36</xdr:row>
      <xdr:rowOff>0</xdr:rowOff>
    </xdr:from>
    <xdr:ext cx="184731" cy="264560"/>
    <xdr:sp macro="" textlink="">
      <xdr:nvSpPr>
        <xdr:cNvPr id="175" name="TextBox 174">
          <a:extLst>
            <a:ext uri="{FF2B5EF4-FFF2-40B4-BE49-F238E27FC236}">
              <a16:creationId xmlns:a16="http://schemas.microsoft.com/office/drawing/2014/main" id="{00000000-0008-0000-0100-0000AF000000}"/>
            </a:ext>
          </a:extLst>
        </xdr:cNvPr>
        <xdr:cNvSpPr txBox="1"/>
      </xdr:nvSpPr>
      <xdr:spPr>
        <a:xfrm>
          <a:off x="4933950" y="6638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36</xdr:row>
      <xdr:rowOff>53915</xdr:rowOff>
    </xdr:from>
    <xdr:ext cx="184731" cy="264560"/>
    <xdr:sp macro="" textlink="">
      <xdr:nvSpPr>
        <xdr:cNvPr id="176" name="TextBox 175">
          <a:extLst>
            <a:ext uri="{FF2B5EF4-FFF2-40B4-BE49-F238E27FC236}">
              <a16:creationId xmlns:a16="http://schemas.microsoft.com/office/drawing/2014/main" id="{00000000-0008-0000-0100-0000B0000000}"/>
            </a:ext>
          </a:extLst>
        </xdr:cNvPr>
        <xdr:cNvSpPr txBox="1"/>
      </xdr:nvSpPr>
      <xdr:spPr>
        <a:xfrm>
          <a:off x="4933950" y="6692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37</xdr:row>
      <xdr:rowOff>53915</xdr:rowOff>
    </xdr:from>
    <xdr:ext cx="184731" cy="264560"/>
    <xdr:sp macro="" textlink="">
      <xdr:nvSpPr>
        <xdr:cNvPr id="177" name="TextBox 176">
          <a:extLst>
            <a:ext uri="{FF2B5EF4-FFF2-40B4-BE49-F238E27FC236}">
              <a16:creationId xmlns:a16="http://schemas.microsoft.com/office/drawing/2014/main" id="{00000000-0008-0000-0100-0000B1000000}"/>
            </a:ext>
          </a:extLst>
        </xdr:cNvPr>
        <xdr:cNvSpPr txBox="1"/>
      </xdr:nvSpPr>
      <xdr:spPr>
        <a:xfrm>
          <a:off x="4933950" y="68928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37</xdr:row>
      <xdr:rowOff>53915</xdr:rowOff>
    </xdr:from>
    <xdr:ext cx="184731" cy="264560"/>
    <xdr:sp macro="" textlink="">
      <xdr:nvSpPr>
        <xdr:cNvPr id="178" name="TextBox 177">
          <a:extLst>
            <a:ext uri="{FF2B5EF4-FFF2-40B4-BE49-F238E27FC236}">
              <a16:creationId xmlns:a16="http://schemas.microsoft.com/office/drawing/2014/main" id="{00000000-0008-0000-0100-0000B2000000}"/>
            </a:ext>
          </a:extLst>
        </xdr:cNvPr>
        <xdr:cNvSpPr txBox="1"/>
      </xdr:nvSpPr>
      <xdr:spPr>
        <a:xfrm>
          <a:off x="4933950" y="68928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37</xdr:row>
      <xdr:rowOff>53915</xdr:rowOff>
    </xdr:from>
    <xdr:ext cx="184731" cy="264560"/>
    <xdr:sp macro="" textlink="">
      <xdr:nvSpPr>
        <xdr:cNvPr id="179" name="TextBox 178">
          <a:extLst>
            <a:ext uri="{FF2B5EF4-FFF2-40B4-BE49-F238E27FC236}">
              <a16:creationId xmlns:a16="http://schemas.microsoft.com/office/drawing/2014/main" id="{00000000-0008-0000-0100-0000B3000000}"/>
            </a:ext>
          </a:extLst>
        </xdr:cNvPr>
        <xdr:cNvSpPr txBox="1"/>
      </xdr:nvSpPr>
      <xdr:spPr>
        <a:xfrm>
          <a:off x="4933950" y="68928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37</xdr:row>
      <xdr:rowOff>0</xdr:rowOff>
    </xdr:from>
    <xdr:ext cx="184731" cy="264560"/>
    <xdr:sp macro="" textlink="">
      <xdr:nvSpPr>
        <xdr:cNvPr id="180" name="TextBox 179">
          <a:extLst>
            <a:ext uri="{FF2B5EF4-FFF2-40B4-BE49-F238E27FC236}">
              <a16:creationId xmlns:a16="http://schemas.microsoft.com/office/drawing/2014/main" id="{00000000-0008-0000-0100-0000B4000000}"/>
            </a:ext>
          </a:extLst>
        </xdr:cNvPr>
        <xdr:cNvSpPr txBox="1"/>
      </xdr:nvSpPr>
      <xdr:spPr>
        <a:xfrm>
          <a:off x="4933950" y="6838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37</xdr:row>
      <xdr:rowOff>53915</xdr:rowOff>
    </xdr:from>
    <xdr:ext cx="184731" cy="264560"/>
    <xdr:sp macro="" textlink="">
      <xdr:nvSpPr>
        <xdr:cNvPr id="181" name="TextBox 180">
          <a:extLst>
            <a:ext uri="{FF2B5EF4-FFF2-40B4-BE49-F238E27FC236}">
              <a16:creationId xmlns:a16="http://schemas.microsoft.com/office/drawing/2014/main" id="{00000000-0008-0000-0100-0000B5000000}"/>
            </a:ext>
          </a:extLst>
        </xdr:cNvPr>
        <xdr:cNvSpPr txBox="1"/>
      </xdr:nvSpPr>
      <xdr:spPr>
        <a:xfrm>
          <a:off x="4933950" y="68928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36</xdr:row>
      <xdr:rowOff>53915</xdr:rowOff>
    </xdr:from>
    <xdr:ext cx="184731" cy="264560"/>
    <xdr:sp macro="" textlink="">
      <xdr:nvSpPr>
        <xdr:cNvPr id="182" name="TextBox 181">
          <a:extLst>
            <a:ext uri="{FF2B5EF4-FFF2-40B4-BE49-F238E27FC236}">
              <a16:creationId xmlns:a16="http://schemas.microsoft.com/office/drawing/2014/main" id="{00000000-0008-0000-0100-0000B6000000}"/>
            </a:ext>
          </a:extLst>
        </xdr:cNvPr>
        <xdr:cNvSpPr txBox="1"/>
      </xdr:nvSpPr>
      <xdr:spPr>
        <a:xfrm>
          <a:off x="4933950" y="6692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36</xdr:row>
      <xdr:rowOff>53915</xdr:rowOff>
    </xdr:from>
    <xdr:ext cx="184731" cy="264560"/>
    <xdr:sp macro="" textlink="">
      <xdr:nvSpPr>
        <xdr:cNvPr id="183" name="TextBox 182">
          <a:extLst>
            <a:ext uri="{FF2B5EF4-FFF2-40B4-BE49-F238E27FC236}">
              <a16:creationId xmlns:a16="http://schemas.microsoft.com/office/drawing/2014/main" id="{00000000-0008-0000-0100-0000B7000000}"/>
            </a:ext>
          </a:extLst>
        </xdr:cNvPr>
        <xdr:cNvSpPr txBox="1"/>
      </xdr:nvSpPr>
      <xdr:spPr>
        <a:xfrm>
          <a:off x="4933950" y="6692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36</xdr:row>
      <xdr:rowOff>53915</xdr:rowOff>
    </xdr:from>
    <xdr:ext cx="184731" cy="264560"/>
    <xdr:sp macro="" textlink="">
      <xdr:nvSpPr>
        <xdr:cNvPr id="184" name="TextBox 183">
          <a:extLst>
            <a:ext uri="{FF2B5EF4-FFF2-40B4-BE49-F238E27FC236}">
              <a16:creationId xmlns:a16="http://schemas.microsoft.com/office/drawing/2014/main" id="{00000000-0008-0000-0100-0000B8000000}"/>
            </a:ext>
          </a:extLst>
        </xdr:cNvPr>
        <xdr:cNvSpPr txBox="1"/>
      </xdr:nvSpPr>
      <xdr:spPr>
        <a:xfrm>
          <a:off x="4933950" y="6692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36</xdr:row>
      <xdr:rowOff>0</xdr:rowOff>
    </xdr:from>
    <xdr:ext cx="184731" cy="264560"/>
    <xdr:sp macro="" textlink="">
      <xdr:nvSpPr>
        <xdr:cNvPr id="185" name="TextBox 184">
          <a:extLst>
            <a:ext uri="{FF2B5EF4-FFF2-40B4-BE49-F238E27FC236}">
              <a16:creationId xmlns:a16="http://schemas.microsoft.com/office/drawing/2014/main" id="{00000000-0008-0000-0100-0000B9000000}"/>
            </a:ext>
          </a:extLst>
        </xdr:cNvPr>
        <xdr:cNvSpPr txBox="1"/>
      </xdr:nvSpPr>
      <xdr:spPr>
        <a:xfrm>
          <a:off x="4933950" y="6638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36</xdr:row>
      <xdr:rowOff>53915</xdr:rowOff>
    </xdr:from>
    <xdr:ext cx="184731" cy="264560"/>
    <xdr:sp macro="" textlink="">
      <xdr:nvSpPr>
        <xdr:cNvPr id="186" name="TextBox 185">
          <a:extLst>
            <a:ext uri="{FF2B5EF4-FFF2-40B4-BE49-F238E27FC236}">
              <a16:creationId xmlns:a16="http://schemas.microsoft.com/office/drawing/2014/main" id="{00000000-0008-0000-0100-0000BA000000}"/>
            </a:ext>
          </a:extLst>
        </xdr:cNvPr>
        <xdr:cNvSpPr txBox="1"/>
      </xdr:nvSpPr>
      <xdr:spPr>
        <a:xfrm>
          <a:off x="4933950" y="6692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37</xdr:row>
      <xdr:rowOff>53915</xdr:rowOff>
    </xdr:from>
    <xdr:ext cx="184731" cy="264560"/>
    <xdr:sp macro="" textlink="">
      <xdr:nvSpPr>
        <xdr:cNvPr id="187" name="TextBox 186">
          <a:extLst>
            <a:ext uri="{FF2B5EF4-FFF2-40B4-BE49-F238E27FC236}">
              <a16:creationId xmlns:a16="http://schemas.microsoft.com/office/drawing/2014/main" id="{00000000-0008-0000-0100-0000BB000000}"/>
            </a:ext>
          </a:extLst>
        </xdr:cNvPr>
        <xdr:cNvSpPr txBox="1"/>
      </xdr:nvSpPr>
      <xdr:spPr>
        <a:xfrm>
          <a:off x="4933950" y="68928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37</xdr:row>
      <xdr:rowOff>53915</xdr:rowOff>
    </xdr:from>
    <xdr:ext cx="184731" cy="264560"/>
    <xdr:sp macro="" textlink="">
      <xdr:nvSpPr>
        <xdr:cNvPr id="188" name="TextBox 187">
          <a:extLst>
            <a:ext uri="{FF2B5EF4-FFF2-40B4-BE49-F238E27FC236}">
              <a16:creationId xmlns:a16="http://schemas.microsoft.com/office/drawing/2014/main" id="{00000000-0008-0000-0100-0000BC000000}"/>
            </a:ext>
          </a:extLst>
        </xdr:cNvPr>
        <xdr:cNvSpPr txBox="1"/>
      </xdr:nvSpPr>
      <xdr:spPr>
        <a:xfrm>
          <a:off x="4933950" y="68928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37</xdr:row>
      <xdr:rowOff>53915</xdr:rowOff>
    </xdr:from>
    <xdr:ext cx="184731" cy="264560"/>
    <xdr:sp macro="" textlink="">
      <xdr:nvSpPr>
        <xdr:cNvPr id="189" name="TextBox 188">
          <a:extLst>
            <a:ext uri="{FF2B5EF4-FFF2-40B4-BE49-F238E27FC236}">
              <a16:creationId xmlns:a16="http://schemas.microsoft.com/office/drawing/2014/main" id="{00000000-0008-0000-0100-0000BD000000}"/>
            </a:ext>
          </a:extLst>
        </xdr:cNvPr>
        <xdr:cNvSpPr txBox="1"/>
      </xdr:nvSpPr>
      <xdr:spPr>
        <a:xfrm>
          <a:off x="4933950" y="68928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37</xdr:row>
      <xdr:rowOff>0</xdr:rowOff>
    </xdr:from>
    <xdr:ext cx="184731" cy="264560"/>
    <xdr:sp macro="" textlink="">
      <xdr:nvSpPr>
        <xdr:cNvPr id="190" name="TextBox 189">
          <a:extLst>
            <a:ext uri="{FF2B5EF4-FFF2-40B4-BE49-F238E27FC236}">
              <a16:creationId xmlns:a16="http://schemas.microsoft.com/office/drawing/2014/main" id="{00000000-0008-0000-0100-0000BE000000}"/>
            </a:ext>
          </a:extLst>
        </xdr:cNvPr>
        <xdr:cNvSpPr txBox="1"/>
      </xdr:nvSpPr>
      <xdr:spPr>
        <a:xfrm>
          <a:off x="4933950" y="6838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37</xdr:row>
      <xdr:rowOff>53915</xdr:rowOff>
    </xdr:from>
    <xdr:ext cx="184731" cy="264560"/>
    <xdr:sp macro="" textlink="">
      <xdr:nvSpPr>
        <xdr:cNvPr id="191" name="TextBox 190">
          <a:extLst>
            <a:ext uri="{FF2B5EF4-FFF2-40B4-BE49-F238E27FC236}">
              <a16:creationId xmlns:a16="http://schemas.microsoft.com/office/drawing/2014/main" id="{00000000-0008-0000-0100-0000BF000000}"/>
            </a:ext>
          </a:extLst>
        </xdr:cNvPr>
        <xdr:cNvSpPr txBox="1"/>
      </xdr:nvSpPr>
      <xdr:spPr>
        <a:xfrm>
          <a:off x="4933950" y="68928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43</xdr:row>
      <xdr:rowOff>53915</xdr:rowOff>
    </xdr:from>
    <xdr:ext cx="184731" cy="264560"/>
    <xdr:sp macro="" textlink="">
      <xdr:nvSpPr>
        <xdr:cNvPr id="192" name="TextBox 191">
          <a:extLst>
            <a:ext uri="{FF2B5EF4-FFF2-40B4-BE49-F238E27FC236}">
              <a16:creationId xmlns:a16="http://schemas.microsoft.com/office/drawing/2014/main" id="{00000000-0008-0000-0100-0000C0000000}"/>
            </a:ext>
          </a:extLst>
        </xdr:cNvPr>
        <xdr:cNvSpPr txBox="1"/>
      </xdr:nvSpPr>
      <xdr:spPr>
        <a:xfrm>
          <a:off x="4933950" y="80930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43</xdr:row>
      <xdr:rowOff>53915</xdr:rowOff>
    </xdr:from>
    <xdr:ext cx="184731" cy="264560"/>
    <xdr:sp macro="" textlink="">
      <xdr:nvSpPr>
        <xdr:cNvPr id="193" name="TextBox 192">
          <a:extLst>
            <a:ext uri="{FF2B5EF4-FFF2-40B4-BE49-F238E27FC236}">
              <a16:creationId xmlns:a16="http://schemas.microsoft.com/office/drawing/2014/main" id="{00000000-0008-0000-0100-0000C1000000}"/>
            </a:ext>
          </a:extLst>
        </xdr:cNvPr>
        <xdr:cNvSpPr txBox="1"/>
      </xdr:nvSpPr>
      <xdr:spPr>
        <a:xfrm>
          <a:off x="4933950" y="80930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43</xdr:row>
      <xdr:rowOff>53915</xdr:rowOff>
    </xdr:from>
    <xdr:ext cx="184731" cy="264560"/>
    <xdr:sp macro="" textlink="">
      <xdr:nvSpPr>
        <xdr:cNvPr id="194" name="TextBox 193">
          <a:extLst>
            <a:ext uri="{FF2B5EF4-FFF2-40B4-BE49-F238E27FC236}">
              <a16:creationId xmlns:a16="http://schemas.microsoft.com/office/drawing/2014/main" id="{00000000-0008-0000-0100-0000C2000000}"/>
            </a:ext>
          </a:extLst>
        </xdr:cNvPr>
        <xdr:cNvSpPr txBox="1"/>
      </xdr:nvSpPr>
      <xdr:spPr>
        <a:xfrm>
          <a:off x="4933950" y="80930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43</xdr:row>
      <xdr:rowOff>0</xdr:rowOff>
    </xdr:from>
    <xdr:ext cx="184731" cy="264560"/>
    <xdr:sp macro="" textlink="">
      <xdr:nvSpPr>
        <xdr:cNvPr id="195" name="TextBox 194">
          <a:extLst>
            <a:ext uri="{FF2B5EF4-FFF2-40B4-BE49-F238E27FC236}">
              <a16:creationId xmlns:a16="http://schemas.microsoft.com/office/drawing/2014/main" id="{00000000-0008-0000-0100-0000C3000000}"/>
            </a:ext>
          </a:extLst>
        </xdr:cNvPr>
        <xdr:cNvSpPr txBox="1"/>
      </xdr:nvSpPr>
      <xdr:spPr>
        <a:xfrm>
          <a:off x="4933950" y="8039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43</xdr:row>
      <xdr:rowOff>53915</xdr:rowOff>
    </xdr:from>
    <xdr:ext cx="184731" cy="264560"/>
    <xdr:sp macro="" textlink="">
      <xdr:nvSpPr>
        <xdr:cNvPr id="196" name="TextBox 195">
          <a:extLst>
            <a:ext uri="{FF2B5EF4-FFF2-40B4-BE49-F238E27FC236}">
              <a16:creationId xmlns:a16="http://schemas.microsoft.com/office/drawing/2014/main" id="{00000000-0008-0000-0100-0000C4000000}"/>
            </a:ext>
          </a:extLst>
        </xdr:cNvPr>
        <xdr:cNvSpPr txBox="1"/>
      </xdr:nvSpPr>
      <xdr:spPr>
        <a:xfrm>
          <a:off x="4933950" y="80930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43</xdr:row>
      <xdr:rowOff>53915</xdr:rowOff>
    </xdr:from>
    <xdr:ext cx="184731" cy="264560"/>
    <xdr:sp macro="" textlink="">
      <xdr:nvSpPr>
        <xdr:cNvPr id="197" name="TextBox 196">
          <a:extLst>
            <a:ext uri="{FF2B5EF4-FFF2-40B4-BE49-F238E27FC236}">
              <a16:creationId xmlns:a16="http://schemas.microsoft.com/office/drawing/2014/main" id="{00000000-0008-0000-0100-0000C5000000}"/>
            </a:ext>
          </a:extLst>
        </xdr:cNvPr>
        <xdr:cNvSpPr txBox="1"/>
      </xdr:nvSpPr>
      <xdr:spPr>
        <a:xfrm>
          <a:off x="4933950" y="80930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43</xdr:row>
      <xdr:rowOff>53915</xdr:rowOff>
    </xdr:from>
    <xdr:ext cx="184731" cy="264560"/>
    <xdr:sp macro="" textlink="">
      <xdr:nvSpPr>
        <xdr:cNvPr id="198" name="TextBox 197">
          <a:extLst>
            <a:ext uri="{FF2B5EF4-FFF2-40B4-BE49-F238E27FC236}">
              <a16:creationId xmlns:a16="http://schemas.microsoft.com/office/drawing/2014/main" id="{00000000-0008-0000-0100-0000C6000000}"/>
            </a:ext>
          </a:extLst>
        </xdr:cNvPr>
        <xdr:cNvSpPr txBox="1"/>
      </xdr:nvSpPr>
      <xdr:spPr>
        <a:xfrm>
          <a:off x="4933950" y="80930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43</xdr:row>
      <xdr:rowOff>53915</xdr:rowOff>
    </xdr:from>
    <xdr:ext cx="184731" cy="264560"/>
    <xdr:sp macro="" textlink="">
      <xdr:nvSpPr>
        <xdr:cNvPr id="199" name="TextBox 198">
          <a:extLst>
            <a:ext uri="{FF2B5EF4-FFF2-40B4-BE49-F238E27FC236}">
              <a16:creationId xmlns:a16="http://schemas.microsoft.com/office/drawing/2014/main" id="{00000000-0008-0000-0100-0000C7000000}"/>
            </a:ext>
          </a:extLst>
        </xdr:cNvPr>
        <xdr:cNvSpPr txBox="1"/>
      </xdr:nvSpPr>
      <xdr:spPr>
        <a:xfrm>
          <a:off x="4933950" y="80930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43</xdr:row>
      <xdr:rowOff>0</xdr:rowOff>
    </xdr:from>
    <xdr:ext cx="184731" cy="264560"/>
    <xdr:sp macro="" textlink="">
      <xdr:nvSpPr>
        <xdr:cNvPr id="200" name="TextBox 199">
          <a:extLst>
            <a:ext uri="{FF2B5EF4-FFF2-40B4-BE49-F238E27FC236}">
              <a16:creationId xmlns:a16="http://schemas.microsoft.com/office/drawing/2014/main" id="{00000000-0008-0000-0100-0000C8000000}"/>
            </a:ext>
          </a:extLst>
        </xdr:cNvPr>
        <xdr:cNvSpPr txBox="1"/>
      </xdr:nvSpPr>
      <xdr:spPr>
        <a:xfrm>
          <a:off x="4933950" y="8039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43</xdr:row>
      <xdr:rowOff>53915</xdr:rowOff>
    </xdr:from>
    <xdr:ext cx="184731" cy="264560"/>
    <xdr:sp macro="" textlink="">
      <xdr:nvSpPr>
        <xdr:cNvPr id="201" name="TextBox 200">
          <a:extLst>
            <a:ext uri="{FF2B5EF4-FFF2-40B4-BE49-F238E27FC236}">
              <a16:creationId xmlns:a16="http://schemas.microsoft.com/office/drawing/2014/main" id="{00000000-0008-0000-0100-0000C9000000}"/>
            </a:ext>
          </a:extLst>
        </xdr:cNvPr>
        <xdr:cNvSpPr txBox="1"/>
      </xdr:nvSpPr>
      <xdr:spPr>
        <a:xfrm>
          <a:off x="4933950" y="80930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43</xdr:row>
      <xdr:rowOff>53915</xdr:rowOff>
    </xdr:from>
    <xdr:ext cx="184731" cy="264560"/>
    <xdr:sp macro="" textlink="">
      <xdr:nvSpPr>
        <xdr:cNvPr id="202" name="TextBox 201">
          <a:extLst>
            <a:ext uri="{FF2B5EF4-FFF2-40B4-BE49-F238E27FC236}">
              <a16:creationId xmlns:a16="http://schemas.microsoft.com/office/drawing/2014/main" id="{00000000-0008-0000-0100-0000CA000000}"/>
            </a:ext>
          </a:extLst>
        </xdr:cNvPr>
        <xdr:cNvSpPr txBox="1"/>
      </xdr:nvSpPr>
      <xdr:spPr>
        <a:xfrm>
          <a:off x="4933950" y="80930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43</xdr:row>
      <xdr:rowOff>53915</xdr:rowOff>
    </xdr:from>
    <xdr:ext cx="184731" cy="264560"/>
    <xdr:sp macro="" textlink="">
      <xdr:nvSpPr>
        <xdr:cNvPr id="203" name="TextBox 202">
          <a:extLst>
            <a:ext uri="{FF2B5EF4-FFF2-40B4-BE49-F238E27FC236}">
              <a16:creationId xmlns:a16="http://schemas.microsoft.com/office/drawing/2014/main" id="{00000000-0008-0000-0100-0000CB000000}"/>
            </a:ext>
          </a:extLst>
        </xdr:cNvPr>
        <xdr:cNvSpPr txBox="1"/>
      </xdr:nvSpPr>
      <xdr:spPr>
        <a:xfrm>
          <a:off x="4933950" y="80930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43</xdr:row>
      <xdr:rowOff>53915</xdr:rowOff>
    </xdr:from>
    <xdr:ext cx="184731" cy="264560"/>
    <xdr:sp macro="" textlink="">
      <xdr:nvSpPr>
        <xdr:cNvPr id="204" name="TextBox 203">
          <a:extLst>
            <a:ext uri="{FF2B5EF4-FFF2-40B4-BE49-F238E27FC236}">
              <a16:creationId xmlns:a16="http://schemas.microsoft.com/office/drawing/2014/main" id="{00000000-0008-0000-0100-0000CC000000}"/>
            </a:ext>
          </a:extLst>
        </xdr:cNvPr>
        <xdr:cNvSpPr txBox="1"/>
      </xdr:nvSpPr>
      <xdr:spPr>
        <a:xfrm>
          <a:off x="4933950" y="80930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43</xdr:row>
      <xdr:rowOff>0</xdr:rowOff>
    </xdr:from>
    <xdr:ext cx="184731" cy="264560"/>
    <xdr:sp macro="" textlink="">
      <xdr:nvSpPr>
        <xdr:cNvPr id="205" name="TextBox 204">
          <a:extLst>
            <a:ext uri="{FF2B5EF4-FFF2-40B4-BE49-F238E27FC236}">
              <a16:creationId xmlns:a16="http://schemas.microsoft.com/office/drawing/2014/main" id="{00000000-0008-0000-0100-0000CD000000}"/>
            </a:ext>
          </a:extLst>
        </xdr:cNvPr>
        <xdr:cNvSpPr txBox="1"/>
      </xdr:nvSpPr>
      <xdr:spPr>
        <a:xfrm>
          <a:off x="4933950" y="8039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43</xdr:row>
      <xdr:rowOff>53915</xdr:rowOff>
    </xdr:from>
    <xdr:ext cx="184731" cy="264560"/>
    <xdr:sp macro="" textlink="">
      <xdr:nvSpPr>
        <xdr:cNvPr id="206" name="TextBox 205">
          <a:extLst>
            <a:ext uri="{FF2B5EF4-FFF2-40B4-BE49-F238E27FC236}">
              <a16:creationId xmlns:a16="http://schemas.microsoft.com/office/drawing/2014/main" id="{00000000-0008-0000-0100-0000CE000000}"/>
            </a:ext>
          </a:extLst>
        </xdr:cNvPr>
        <xdr:cNvSpPr txBox="1"/>
      </xdr:nvSpPr>
      <xdr:spPr>
        <a:xfrm>
          <a:off x="4933950" y="80930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44</xdr:row>
      <xdr:rowOff>53915</xdr:rowOff>
    </xdr:from>
    <xdr:ext cx="184731" cy="264560"/>
    <xdr:sp macro="" textlink="">
      <xdr:nvSpPr>
        <xdr:cNvPr id="207" name="TextBox 206">
          <a:extLst>
            <a:ext uri="{FF2B5EF4-FFF2-40B4-BE49-F238E27FC236}">
              <a16:creationId xmlns:a16="http://schemas.microsoft.com/office/drawing/2014/main" id="{00000000-0008-0000-0100-0000CF000000}"/>
            </a:ext>
          </a:extLst>
        </xdr:cNvPr>
        <xdr:cNvSpPr txBox="1"/>
      </xdr:nvSpPr>
      <xdr:spPr>
        <a:xfrm>
          <a:off x="4933950" y="8293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44</xdr:row>
      <xdr:rowOff>53915</xdr:rowOff>
    </xdr:from>
    <xdr:ext cx="184731" cy="264560"/>
    <xdr:sp macro="" textlink="">
      <xdr:nvSpPr>
        <xdr:cNvPr id="208" name="TextBox 207">
          <a:extLst>
            <a:ext uri="{FF2B5EF4-FFF2-40B4-BE49-F238E27FC236}">
              <a16:creationId xmlns:a16="http://schemas.microsoft.com/office/drawing/2014/main" id="{00000000-0008-0000-0100-0000D0000000}"/>
            </a:ext>
          </a:extLst>
        </xdr:cNvPr>
        <xdr:cNvSpPr txBox="1"/>
      </xdr:nvSpPr>
      <xdr:spPr>
        <a:xfrm>
          <a:off x="4933950" y="8293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44</xdr:row>
      <xdr:rowOff>53915</xdr:rowOff>
    </xdr:from>
    <xdr:ext cx="184731" cy="264560"/>
    <xdr:sp macro="" textlink="">
      <xdr:nvSpPr>
        <xdr:cNvPr id="209" name="TextBox 208">
          <a:extLst>
            <a:ext uri="{FF2B5EF4-FFF2-40B4-BE49-F238E27FC236}">
              <a16:creationId xmlns:a16="http://schemas.microsoft.com/office/drawing/2014/main" id="{00000000-0008-0000-0100-0000D1000000}"/>
            </a:ext>
          </a:extLst>
        </xdr:cNvPr>
        <xdr:cNvSpPr txBox="1"/>
      </xdr:nvSpPr>
      <xdr:spPr>
        <a:xfrm>
          <a:off x="4933950" y="8293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44</xdr:row>
      <xdr:rowOff>0</xdr:rowOff>
    </xdr:from>
    <xdr:ext cx="184731" cy="264560"/>
    <xdr:sp macro="" textlink="">
      <xdr:nvSpPr>
        <xdr:cNvPr id="210" name="TextBox 209">
          <a:extLst>
            <a:ext uri="{FF2B5EF4-FFF2-40B4-BE49-F238E27FC236}">
              <a16:creationId xmlns:a16="http://schemas.microsoft.com/office/drawing/2014/main" id="{00000000-0008-0000-0100-0000D2000000}"/>
            </a:ext>
          </a:extLst>
        </xdr:cNvPr>
        <xdr:cNvSpPr txBox="1"/>
      </xdr:nvSpPr>
      <xdr:spPr>
        <a:xfrm>
          <a:off x="4933950" y="8239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44</xdr:row>
      <xdr:rowOff>53915</xdr:rowOff>
    </xdr:from>
    <xdr:ext cx="184731" cy="264560"/>
    <xdr:sp macro="" textlink="">
      <xdr:nvSpPr>
        <xdr:cNvPr id="211" name="TextBox 210">
          <a:extLst>
            <a:ext uri="{FF2B5EF4-FFF2-40B4-BE49-F238E27FC236}">
              <a16:creationId xmlns:a16="http://schemas.microsoft.com/office/drawing/2014/main" id="{00000000-0008-0000-0100-0000D3000000}"/>
            </a:ext>
          </a:extLst>
        </xdr:cNvPr>
        <xdr:cNvSpPr txBox="1"/>
      </xdr:nvSpPr>
      <xdr:spPr>
        <a:xfrm>
          <a:off x="4933950" y="8293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43</xdr:row>
      <xdr:rowOff>53915</xdr:rowOff>
    </xdr:from>
    <xdr:ext cx="184731" cy="264560"/>
    <xdr:sp macro="" textlink="">
      <xdr:nvSpPr>
        <xdr:cNvPr id="212" name="TextBox 211">
          <a:extLst>
            <a:ext uri="{FF2B5EF4-FFF2-40B4-BE49-F238E27FC236}">
              <a16:creationId xmlns:a16="http://schemas.microsoft.com/office/drawing/2014/main" id="{00000000-0008-0000-0100-0000D4000000}"/>
            </a:ext>
          </a:extLst>
        </xdr:cNvPr>
        <xdr:cNvSpPr txBox="1"/>
      </xdr:nvSpPr>
      <xdr:spPr>
        <a:xfrm>
          <a:off x="4933950" y="80930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43</xdr:row>
      <xdr:rowOff>53915</xdr:rowOff>
    </xdr:from>
    <xdr:ext cx="184731" cy="264560"/>
    <xdr:sp macro="" textlink="">
      <xdr:nvSpPr>
        <xdr:cNvPr id="213" name="TextBox 212">
          <a:extLst>
            <a:ext uri="{FF2B5EF4-FFF2-40B4-BE49-F238E27FC236}">
              <a16:creationId xmlns:a16="http://schemas.microsoft.com/office/drawing/2014/main" id="{00000000-0008-0000-0100-0000D5000000}"/>
            </a:ext>
          </a:extLst>
        </xdr:cNvPr>
        <xdr:cNvSpPr txBox="1"/>
      </xdr:nvSpPr>
      <xdr:spPr>
        <a:xfrm>
          <a:off x="4933950" y="80930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43</xdr:row>
      <xdr:rowOff>53915</xdr:rowOff>
    </xdr:from>
    <xdr:ext cx="184731" cy="264560"/>
    <xdr:sp macro="" textlink="">
      <xdr:nvSpPr>
        <xdr:cNvPr id="214" name="TextBox 213">
          <a:extLst>
            <a:ext uri="{FF2B5EF4-FFF2-40B4-BE49-F238E27FC236}">
              <a16:creationId xmlns:a16="http://schemas.microsoft.com/office/drawing/2014/main" id="{00000000-0008-0000-0100-0000D6000000}"/>
            </a:ext>
          </a:extLst>
        </xdr:cNvPr>
        <xdr:cNvSpPr txBox="1"/>
      </xdr:nvSpPr>
      <xdr:spPr>
        <a:xfrm>
          <a:off x="4933950" y="80930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43</xdr:row>
      <xdr:rowOff>0</xdr:rowOff>
    </xdr:from>
    <xdr:ext cx="184731" cy="264560"/>
    <xdr:sp macro="" textlink="">
      <xdr:nvSpPr>
        <xdr:cNvPr id="215" name="TextBox 214">
          <a:extLst>
            <a:ext uri="{FF2B5EF4-FFF2-40B4-BE49-F238E27FC236}">
              <a16:creationId xmlns:a16="http://schemas.microsoft.com/office/drawing/2014/main" id="{00000000-0008-0000-0100-0000D7000000}"/>
            </a:ext>
          </a:extLst>
        </xdr:cNvPr>
        <xdr:cNvSpPr txBox="1"/>
      </xdr:nvSpPr>
      <xdr:spPr>
        <a:xfrm>
          <a:off x="4933950" y="8039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43</xdr:row>
      <xdr:rowOff>53915</xdr:rowOff>
    </xdr:from>
    <xdr:ext cx="184731" cy="264560"/>
    <xdr:sp macro="" textlink="">
      <xdr:nvSpPr>
        <xdr:cNvPr id="216" name="TextBox 215">
          <a:extLst>
            <a:ext uri="{FF2B5EF4-FFF2-40B4-BE49-F238E27FC236}">
              <a16:creationId xmlns:a16="http://schemas.microsoft.com/office/drawing/2014/main" id="{00000000-0008-0000-0100-0000D8000000}"/>
            </a:ext>
          </a:extLst>
        </xdr:cNvPr>
        <xdr:cNvSpPr txBox="1"/>
      </xdr:nvSpPr>
      <xdr:spPr>
        <a:xfrm>
          <a:off x="4933950" y="80930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44</xdr:row>
      <xdr:rowOff>53915</xdr:rowOff>
    </xdr:from>
    <xdr:ext cx="184731" cy="264560"/>
    <xdr:sp macro="" textlink="">
      <xdr:nvSpPr>
        <xdr:cNvPr id="217" name="TextBox 216">
          <a:extLst>
            <a:ext uri="{FF2B5EF4-FFF2-40B4-BE49-F238E27FC236}">
              <a16:creationId xmlns:a16="http://schemas.microsoft.com/office/drawing/2014/main" id="{00000000-0008-0000-0100-0000D9000000}"/>
            </a:ext>
          </a:extLst>
        </xdr:cNvPr>
        <xdr:cNvSpPr txBox="1"/>
      </xdr:nvSpPr>
      <xdr:spPr>
        <a:xfrm>
          <a:off x="4933950" y="8293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44</xdr:row>
      <xdr:rowOff>53915</xdr:rowOff>
    </xdr:from>
    <xdr:ext cx="184731" cy="264560"/>
    <xdr:sp macro="" textlink="">
      <xdr:nvSpPr>
        <xdr:cNvPr id="218" name="TextBox 217">
          <a:extLst>
            <a:ext uri="{FF2B5EF4-FFF2-40B4-BE49-F238E27FC236}">
              <a16:creationId xmlns:a16="http://schemas.microsoft.com/office/drawing/2014/main" id="{00000000-0008-0000-0100-0000DA000000}"/>
            </a:ext>
          </a:extLst>
        </xdr:cNvPr>
        <xdr:cNvSpPr txBox="1"/>
      </xdr:nvSpPr>
      <xdr:spPr>
        <a:xfrm>
          <a:off x="4933950" y="8293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44</xdr:row>
      <xdr:rowOff>53915</xdr:rowOff>
    </xdr:from>
    <xdr:ext cx="184731" cy="264560"/>
    <xdr:sp macro="" textlink="">
      <xdr:nvSpPr>
        <xdr:cNvPr id="219" name="TextBox 218">
          <a:extLst>
            <a:ext uri="{FF2B5EF4-FFF2-40B4-BE49-F238E27FC236}">
              <a16:creationId xmlns:a16="http://schemas.microsoft.com/office/drawing/2014/main" id="{00000000-0008-0000-0100-0000DB000000}"/>
            </a:ext>
          </a:extLst>
        </xdr:cNvPr>
        <xdr:cNvSpPr txBox="1"/>
      </xdr:nvSpPr>
      <xdr:spPr>
        <a:xfrm>
          <a:off x="4933950" y="8293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44</xdr:row>
      <xdr:rowOff>0</xdr:rowOff>
    </xdr:from>
    <xdr:ext cx="184731" cy="264560"/>
    <xdr:sp macro="" textlink="">
      <xdr:nvSpPr>
        <xdr:cNvPr id="220" name="TextBox 219">
          <a:extLst>
            <a:ext uri="{FF2B5EF4-FFF2-40B4-BE49-F238E27FC236}">
              <a16:creationId xmlns:a16="http://schemas.microsoft.com/office/drawing/2014/main" id="{00000000-0008-0000-0100-0000DC000000}"/>
            </a:ext>
          </a:extLst>
        </xdr:cNvPr>
        <xdr:cNvSpPr txBox="1"/>
      </xdr:nvSpPr>
      <xdr:spPr>
        <a:xfrm>
          <a:off x="4933950" y="8239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44</xdr:row>
      <xdr:rowOff>53915</xdr:rowOff>
    </xdr:from>
    <xdr:ext cx="184731" cy="264560"/>
    <xdr:sp macro="" textlink="">
      <xdr:nvSpPr>
        <xdr:cNvPr id="221" name="TextBox 220">
          <a:extLst>
            <a:ext uri="{FF2B5EF4-FFF2-40B4-BE49-F238E27FC236}">
              <a16:creationId xmlns:a16="http://schemas.microsoft.com/office/drawing/2014/main" id="{00000000-0008-0000-0100-0000DD000000}"/>
            </a:ext>
          </a:extLst>
        </xdr:cNvPr>
        <xdr:cNvSpPr txBox="1"/>
      </xdr:nvSpPr>
      <xdr:spPr>
        <a:xfrm>
          <a:off x="4933950" y="8293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43</xdr:row>
      <xdr:rowOff>53915</xdr:rowOff>
    </xdr:from>
    <xdr:ext cx="184731" cy="264560"/>
    <xdr:sp macro="" textlink="">
      <xdr:nvSpPr>
        <xdr:cNvPr id="222" name="TextBox 221">
          <a:extLst>
            <a:ext uri="{FF2B5EF4-FFF2-40B4-BE49-F238E27FC236}">
              <a16:creationId xmlns:a16="http://schemas.microsoft.com/office/drawing/2014/main" id="{00000000-0008-0000-0100-0000DE000000}"/>
            </a:ext>
          </a:extLst>
        </xdr:cNvPr>
        <xdr:cNvSpPr txBox="1"/>
      </xdr:nvSpPr>
      <xdr:spPr>
        <a:xfrm>
          <a:off x="4933950" y="80930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43</xdr:row>
      <xdr:rowOff>53915</xdr:rowOff>
    </xdr:from>
    <xdr:ext cx="184731" cy="264560"/>
    <xdr:sp macro="" textlink="">
      <xdr:nvSpPr>
        <xdr:cNvPr id="223" name="TextBox 222">
          <a:extLst>
            <a:ext uri="{FF2B5EF4-FFF2-40B4-BE49-F238E27FC236}">
              <a16:creationId xmlns:a16="http://schemas.microsoft.com/office/drawing/2014/main" id="{00000000-0008-0000-0100-0000DF000000}"/>
            </a:ext>
          </a:extLst>
        </xdr:cNvPr>
        <xdr:cNvSpPr txBox="1"/>
      </xdr:nvSpPr>
      <xdr:spPr>
        <a:xfrm>
          <a:off x="4933950" y="80930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43</xdr:row>
      <xdr:rowOff>53915</xdr:rowOff>
    </xdr:from>
    <xdr:ext cx="184731" cy="264560"/>
    <xdr:sp macro="" textlink="">
      <xdr:nvSpPr>
        <xdr:cNvPr id="224" name="TextBox 223">
          <a:extLst>
            <a:ext uri="{FF2B5EF4-FFF2-40B4-BE49-F238E27FC236}">
              <a16:creationId xmlns:a16="http://schemas.microsoft.com/office/drawing/2014/main" id="{00000000-0008-0000-0100-0000E0000000}"/>
            </a:ext>
          </a:extLst>
        </xdr:cNvPr>
        <xdr:cNvSpPr txBox="1"/>
      </xdr:nvSpPr>
      <xdr:spPr>
        <a:xfrm>
          <a:off x="4933950" y="80930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43</xdr:row>
      <xdr:rowOff>0</xdr:rowOff>
    </xdr:from>
    <xdr:ext cx="184731" cy="264560"/>
    <xdr:sp macro="" textlink="">
      <xdr:nvSpPr>
        <xdr:cNvPr id="225" name="TextBox 224">
          <a:extLst>
            <a:ext uri="{FF2B5EF4-FFF2-40B4-BE49-F238E27FC236}">
              <a16:creationId xmlns:a16="http://schemas.microsoft.com/office/drawing/2014/main" id="{00000000-0008-0000-0100-0000E1000000}"/>
            </a:ext>
          </a:extLst>
        </xdr:cNvPr>
        <xdr:cNvSpPr txBox="1"/>
      </xdr:nvSpPr>
      <xdr:spPr>
        <a:xfrm>
          <a:off x="4933950" y="8039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43</xdr:row>
      <xdr:rowOff>53915</xdr:rowOff>
    </xdr:from>
    <xdr:ext cx="184731" cy="264560"/>
    <xdr:sp macro="" textlink="">
      <xdr:nvSpPr>
        <xdr:cNvPr id="226" name="TextBox 225">
          <a:extLst>
            <a:ext uri="{FF2B5EF4-FFF2-40B4-BE49-F238E27FC236}">
              <a16:creationId xmlns:a16="http://schemas.microsoft.com/office/drawing/2014/main" id="{00000000-0008-0000-0100-0000E2000000}"/>
            </a:ext>
          </a:extLst>
        </xdr:cNvPr>
        <xdr:cNvSpPr txBox="1"/>
      </xdr:nvSpPr>
      <xdr:spPr>
        <a:xfrm>
          <a:off x="4933950" y="80930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44</xdr:row>
      <xdr:rowOff>53915</xdr:rowOff>
    </xdr:from>
    <xdr:ext cx="184731" cy="264560"/>
    <xdr:sp macro="" textlink="">
      <xdr:nvSpPr>
        <xdr:cNvPr id="227" name="TextBox 226">
          <a:extLst>
            <a:ext uri="{FF2B5EF4-FFF2-40B4-BE49-F238E27FC236}">
              <a16:creationId xmlns:a16="http://schemas.microsoft.com/office/drawing/2014/main" id="{00000000-0008-0000-0100-0000E3000000}"/>
            </a:ext>
          </a:extLst>
        </xdr:cNvPr>
        <xdr:cNvSpPr txBox="1"/>
      </xdr:nvSpPr>
      <xdr:spPr>
        <a:xfrm>
          <a:off x="4933950" y="8293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44</xdr:row>
      <xdr:rowOff>53915</xdr:rowOff>
    </xdr:from>
    <xdr:ext cx="184731" cy="264560"/>
    <xdr:sp macro="" textlink="">
      <xdr:nvSpPr>
        <xdr:cNvPr id="228" name="TextBox 227">
          <a:extLst>
            <a:ext uri="{FF2B5EF4-FFF2-40B4-BE49-F238E27FC236}">
              <a16:creationId xmlns:a16="http://schemas.microsoft.com/office/drawing/2014/main" id="{00000000-0008-0000-0100-0000E4000000}"/>
            </a:ext>
          </a:extLst>
        </xdr:cNvPr>
        <xdr:cNvSpPr txBox="1"/>
      </xdr:nvSpPr>
      <xdr:spPr>
        <a:xfrm>
          <a:off x="4933950" y="8293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44</xdr:row>
      <xdr:rowOff>53915</xdr:rowOff>
    </xdr:from>
    <xdr:ext cx="184731" cy="264560"/>
    <xdr:sp macro="" textlink="">
      <xdr:nvSpPr>
        <xdr:cNvPr id="229" name="TextBox 228">
          <a:extLst>
            <a:ext uri="{FF2B5EF4-FFF2-40B4-BE49-F238E27FC236}">
              <a16:creationId xmlns:a16="http://schemas.microsoft.com/office/drawing/2014/main" id="{00000000-0008-0000-0100-0000E5000000}"/>
            </a:ext>
          </a:extLst>
        </xdr:cNvPr>
        <xdr:cNvSpPr txBox="1"/>
      </xdr:nvSpPr>
      <xdr:spPr>
        <a:xfrm>
          <a:off x="4933950" y="8293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44</xdr:row>
      <xdr:rowOff>0</xdr:rowOff>
    </xdr:from>
    <xdr:ext cx="184731" cy="264560"/>
    <xdr:sp macro="" textlink="">
      <xdr:nvSpPr>
        <xdr:cNvPr id="230" name="TextBox 229">
          <a:extLst>
            <a:ext uri="{FF2B5EF4-FFF2-40B4-BE49-F238E27FC236}">
              <a16:creationId xmlns:a16="http://schemas.microsoft.com/office/drawing/2014/main" id="{00000000-0008-0000-0100-0000E6000000}"/>
            </a:ext>
          </a:extLst>
        </xdr:cNvPr>
        <xdr:cNvSpPr txBox="1"/>
      </xdr:nvSpPr>
      <xdr:spPr>
        <a:xfrm>
          <a:off x="4933950" y="8239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44</xdr:row>
      <xdr:rowOff>53915</xdr:rowOff>
    </xdr:from>
    <xdr:ext cx="184731" cy="264560"/>
    <xdr:sp macro="" textlink="">
      <xdr:nvSpPr>
        <xdr:cNvPr id="231" name="TextBox 230">
          <a:extLst>
            <a:ext uri="{FF2B5EF4-FFF2-40B4-BE49-F238E27FC236}">
              <a16:creationId xmlns:a16="http://schemas.microsoft.com/office/drawing/2014/main" id="{00000000-0008-0000-0100-0000E7000000}"/>
            </a:ext>
          </a:extLst>
        </xdr:cNvPr>
        <xdr:cNvSpPr txBox="1"/>
      </xdr:nvSpPr>
      <xdr:spPr>
        <a:xfrm>
          <a:off x="4933950" y="8293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43</xdr:row>
      <xdr:rowOff>53915</xdr:rowOff>
    </xdr:from>
    <xdr:ext cx="184731" cy="264560"/>
    <xdr:sp macro="" textlink="">
      <xdr:nvSpPr>
        <xdr:cNvPr id="232" name="TextBox 231">
          <a:extLst>
            <a:ext uri="{FF2B5EF4-FFF2-40B4-BE49-F238E27FC236}">
              <a16:creationId xmlns:a16="http://schemas.microsoft.com/office/drawing/2014/main" id="{00000000-0008-0000-0100-0000E8000000}"/>
            </a:ext>
          </a:extLst>
        </xdr:cNvPr>
        <xdr:cNvSpPr txBox="1"/>
      </xdr:nvSpPr>
      <xdr:spPr>
        <a:xfrm>
          <a:off x="4933950" y="80930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43</xdr:row>
      <xdr:rowOff>53915</xdr:rowOff>
    </xdr:from>
    <xdr:ext cx="184731" cy="264560"/>
    <xdr:sp macro="" textlink="">
      <xdr:nvSpPr>
        <xdr:cNvPr id="233" name="TextBox 232">
          <a:extLst>
            <a:ext uri="{FF2B5EF4-FFF2-40B4-BE49-F238E27FC236}">
              <a16:creationId xmlns:a16="http://schemas.microsoft.com/office/drawing/2014/main" id="{00000000-0008-0000-0100-0000E9000000}"/>
            </a:ext>
          </a:extLst>
        </xdr:cNvPr>
        <xdr:cNvSpPr txBox="1"/>
      </xdr:nvSpPr>
      <xdr:spPr>
        <a:xfrm>
          <a:off x="4933950" y="80930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43</xdr:row>
      <xdr:rowOff>53915</xdr:rowOff>
    </xdr:from>
    <xdr:ext cx="184731" cy="264560"/>
    <xdr:sp macro="" textlink="">
      <xdr:nvSpPr>
        <xdr:cNvPr id="234" name="TextBox 233">
          <a:extLst>
            <a:ext uri="{FF2B5EF4-FFF2-40B4-BE49-F238E27FC236}">
              <a16:creationId xmlns:a16="http://schemas.microsoft.com/office/drawing/2014/main" id="{00000000-0008-0000-0100-0000EA000000}"/>
            </a:ext>
          </a:extLst>
        </xdr:cNvPr>
        <xdr:cNvSpPr txBox="1"/>
      </xdr:nvSpPr>
      <xdr:spPr>
        <a:xfrm>
          <a:off x="4933950" y="80930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43</xdr:row>
      <xdr:rowOff>0</xdr:rowOff>
    </xdr:from>
    <xdr:ext cx="184731" cy="264560"/>
    <xdr:sp macro="" textlink="">
      <xdr:nvSpPr>
        <xdr:cNvPr id="235" name="TextBox 234">
          <a:extLst>
            <a:ext uri="{FF2B5EF4-FFF2-40B4-BE49-F238E27FC236}">
              <a16:creationId xmlns:a16="http://schemas.microsoft.com/office/drawing/2014/main" id="{00000000-0008-0000-0100-0000EB000000}"/>
            </a:ext>
          </a:extLst>
        </xdr:cNvPr>
        <xdr:cNvSpPr txBox="1"/>
      </xdr:nvSpPr>
      <xdr:spPr>
        <a:xfrm>
          <a:off x="4933950" y="8039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43</xdr:row>
      <xdr:rowOff>53915</xdr:rowOff>
    </xdr:from>
    <xdr:ext cx="184731" cy="264560"/>
    <xdr:sp macro="" textlink="">
      <xdr:nvSpPr>
        <xdr:cNvPr id="236" name="TextBox 235">
          <a:extLst>
            <a:ext uri="{FF2B5EF4-FFF2-40B4-BE49-F238E27FC236}">
              <a16:creationId xmlns:a16="http://schemas.microsoft.com/office/drawing/2014/main" id="{00000000-0008-0000-0100-0000EC000000}"/>
            </a:ext>
          </a:extLst>
        </xdr:cNvPr>
        <xdr:cNvSpPr txBox="1"/>
      </xdr:nvSpPr>
      <xdr:spPr>
        <a:xfrm>
          <a:off x="4933950" y="80930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44</xdr:row>
      <xdr:rowOff>53915</xdr:rowOff>
    </xdr:from>
    <xdr:ext cx="184731" cy="264560"/>
    <xdr:sp macro="" textlink="">
      <xdr:nvSpPr>
        <xdr:cNvPr id="237" name="TextBox 236">
          <a:extLst>
            <a:ext uri="{FF2B5EF4-FFF2-40B4-BE49-F238E27FC236}">
              <a16:creationId xmlns:a16="http://schemas.microsoft.com/office/drawing/2014/main" id="{00000000-0008-0000-0100-0000ED000000}"/>
            </a:ext>
          </a:extLst>
        </xdr:cNvPr>
        <xdr:cNvSpPr txBox="1"/>
      </xdr:nvSpPr>
      <xdr:spPr>
        <a:xfrm>
          <a:off x="4933950" y="8293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44</xdr:row>
      <xdr:rowOff>53915</xdr:rowOff>
    </xdr:from>
    <xdr:ext cx="184731" cy="264560"/>
    <xdr:sp macro="" textlink="">
      <xdr:nvSpPr>
        <xdr:cNvPr id="238" name="TextBox 237">
          <a:extLst>
            <a:ext uri="{FF2B5EF4-FFF2-40B4-BE49-F238E27FC236}">
              <a16:creationId xmlns:a16="http://schemas.microsoft.com/office/drawing/2014/main" id="{00000000-0008-0000-0100-0000EE000000}"/>
            </a:ext>
          </a:extLst>
        </xdr:cNvPr>
        <xdr:cNvSpPr txBox="1"/>
      </xdr:nvSpPr>
      <xdr:spPr>
        <a:xfrm>
          <a:off x="4933950" y="8293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44</xdr:row>
      <xdr:rowOff>53915</xdr:rowOff>
    </xdr:from>
    <xdr:ext cx="184731" cy="264560"/>
    <xdr:sp macro="" textlink="">
      <xdr:nvSpPr>
        <xdr:cNvPr id="239" name="TextBox 238">
          <a:extLst>
            <a:ext uri="{FF2B5EF4-FFF2-40B4-BE49-F238E27FC236}">
              <a16:creationId xmlns:a16="http://schemas.microsoft.com/office/drawing/2014/main" id="{00000000-0008-0000-0100-0000EF000000}"/>
            </a:ext>
          </a:extLst>
        </xdr:cNvPr>
        <xdr:cNvSpPr txBox="1"/>
      </xdr:nvSpPr>
      <xdr:spPr>
        <a:xfrm>
          <a:off x="4933950" y="8293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44</xdr:row>
      <xdr:rowOff>0</xdr:rowOff>
    </xdr:from>
    <xdr:ext cx="184731" cy="264560"/>
    <xdr:sp macro="" textlink="">
      <xdr:nvSpPr>
        <xdr:cNvPr id="240" name="TextBox 239">
          <a:extLst>
            <a:ext uri="{FF2B5EF4-FFF2-40B4-BE49-F238E27FC236}">
              <a16:creationId xmlns:a16="http://schemas.microsoft.com/office/drawing/2014/main" id="{00000000-0008-0000-0100-0000F0000000}"/>
            </a:ext>
          </a:extLst>
        </xdr:cNvPr>
        <xdr:cNvSpPr txBox="1"/>
      </xdr:nvSpPr>
      <xdr:spPr>
        <a:xfrm>
          <a:off x="4933950" y="8239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44</xdr:row>
      <xdr:rowOff>53915</xdr:rowOff>
    </xdr:from>
    <xdr:ext cx="184731" cy="264560"/>
    <xdr:sp macro="" textlink="">
      <xdr:nvSpPr>
        <xdr:cNvPr id="241" name="TextBox 240">
          <a:extLst>
            <a:ext uri="{FF2B5EF4-FFF2-40B4-BE49-F238E27FC236}">
              <a16:creationId xmlns:a16="http://schemas.microsoft.com/office/drawing/2014/main" id="{00000000-0008-0000-0100-0000F1000000}"/>
            </a:ext>
          </a:extLst>
        </xdr:cNvPr>
        <xdr:cNvSpPr txBox="1"/>
      </xdr:nvSpPr>
      <xdr:spPr>
        <a:xfrm>
          <a:off x="4933950" y="8293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50</xdr:row>
      <xdr:rowOff>53915</xdr:rowOff>
    </xdr:from>
    <xdr:ext cx="184731" cy="264560"/>
    <xdr:sp macro="" textlink="">
      <xdr:nvSpPr>
        <xdr:cNvPr id="242" name="TextBox 241">
          <a:extLst>
            <a:ext uri="{FF2B5EF4-FFF2-40B4-BE49-F238E27FC236}">
              <a16:creationId xmlns:a16="http://schemas.microsoft.com/office/drawing/2014/main" id="{00000000-0008-0000-0100-0000F2000000}"/>
            </a:ext>
          </a:extLst>
        </xdr:cNvPr>
        <xdr:cNvSpPr txBox="1"/>
      </xdr:nvSpPr>
      <xdr:spPr>
        <a:xfrm>
          <a:off x="4933950" y="94931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50</xdr:row>
      <xdr:rowOff>53915</xdr:rowOff>
    </xdr:from>
    <xdr:ext cx="184731" cy="264560"/>
    <xdr:sp macro="" textlink="">
      <xdr:nvSpPr>
        <xdr:cNvPr id="243" name="TextBox 242">
          <a:extLst>
            <a:ext uri="{FF2B5EF4-FFF2-40B4-BE49-F238E27FC236}">
              <a16:creationId xmlns:a16="http://schemas.microsoft.com/office/drawing/2014/main" id="{00000000-0008-0000-0100-0000F3000000}"/>
            </a:ext>
          </a:extLst>
        </xdr:cNvPr>
        <xdr:cNvSpPr txBox="1"/>
      </xdr:nvSpPr>
      <xdr:spPr>
        <a:xfrm>
          <a:off x="4933950" y="94931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50</xdr:row>
      <xdr:rowOff>53915</xdr:rowOff>
    </xdr:from>
    <xdr:ext cx="184731" cy="264560"/>
    <xdr:sp macro="" textlink="">
      <xdr:nvSpPr>
        <xdr:cNvPr id="244" name="TextBox 243">
          <a:extLst>
            <a:ext uri="{FF2B5EF4-FFF2-40B4-BE49-F238E27FC236}">
              <a16:creationId xmlns:a16="http://schemas.microsoft.com/office/drawing/2014/main" id="{00000000-0008-0000-0100-0000F4000000}"/>
            </a:ext>
          </a:extLst>
        </xdr:cNvPr>
        <xdr:cNvSpPr txBox="1"/>
      </xdr:nvSpPr>
      <xdr:spPr>
        <a:xfrm>
          <a:off x="4933950" y="94931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50</xdr:row>
      <xdr:rowOff>0</xdr:rowOff>
    </xdr:from>
    <xdr:ext cx="184731" cy="264560"/>
    <xdr:sp macro="" textlink="">
      <xdr:nvSpPr>
        <xdr:cNvPr id="245" name="TextBox 244">
          <a:extLst>
            <a:ext uri="{FF2B5EF4-FFF2-40B4-BE49-F238E27FC236}">
              <a16:creationId xmlns:a16="http://schemas.microsoft.com/office/drawing/2014/main" id="{00000000-0008-0000-0100-0000F5000000}"/>
            </a:ext>
          </a:extLst>
        </xdr:cNvPr>
        <xdr:cNvSpPr txBox="1"/>
      </xdr:nvSpPr>
      <xdr:spPr>
        <a:xfrm>
          <a:off x="4933950" y="9439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50</xdr:row>
      <xdr:rowOff>53915</xdr:rowOff>
    </xdr:from>
    <xdr:ext cx="184731" cy="264560"/>
    <xdr:sp macro="" textlink="">
      <xdr:nvSpPr>
        <xdr:cNvPr id="246" name="TextBox 245">
          <a:extLst>
            <a:ext uri="{FF2B5EF4-FFF2-40B4-BE49-F238E27FC236}">
              <a16:creationId xmlns:a16="http://schemas.microsoft.com/office/drawing/2014/main" id="{00000000-0008-0000-0100-0000F6000000}"/>
            </a:ext>
          </a:extLst>
        </xdr:cNvPr>
        <xdr:cNvSpPr txBox="1"/>
      </xdr:nvSpPr>
      <xdr:spPr>
        <a:xfrm>
          <a:off x="4933950" y="94931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50</xdr:row>
      <xdr:rowOff>53915</xdr:rowOff>
    </xdr:from>
    <xdr:ext cx="184731" cy="264560"/>
    <xdr:sp macro="" textlink="">
      <xdr:nvSpPr>
        <xdr:cNvPr id="247" name="TextBox 246">
          <a:extLst>
            <a:ext uri="{FF2B5EF4-FFF2-40B4-BE49-F238E27FC236}">
              <a16:creationId xmlns:a16="http://schemas.microsoft.com/office/drawing/2014/main" id="{00000000-0008-0000-0100-0000F7000000}"/>
            </a:ext>
          </a:extLst>
        </xdr:cNvPr>
        <xdr:cNvSpPr txBox="1"/>
      </xdr:nvSpPr>
      <xdr:spPr>
        <a:xfrm>
          <a:off x="4933950" y="94931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50</xdr:row>
      <xdr:rowOff>53915</xdr:rowOff>
    </xdr:from>
    <xdr:ext cx="184731" cy="264560"/>
    <xdr:sp macro="" textlink="">
      <xdr:nvSpPr>
        <xdr:cNvPr id="248" name="TextBox 247">
          <a:extLst>
            <a:ext uri="{FF2B5EF4-FFF2-40B4-BE49-F238E27FC236}">
              <a16:creationId xmlns:a16="http://schemas.microsoft.com/office/drawing/2014/main" id="{00000000-0008-0000-0100-0000F8000000}"/>
            </a:ext>
          </a:extLst>
        </xdr:cNvPr>
        <xdr:cNvSpPr txBox="1"/>
      </xdr:nvSpPr>
      <xdr:spPr>
        <a:xfrm>
          <a:off x="4933950" y="94931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50</xdr:row>
      <xdr:rowOff>53915</xdr:rowOff>
    </xdr:from>
    <xdr:ext cx="184731" cy="264560"/>
    <xdr:sp macro="" textlink="">
      <xdr:nvSpPr>
        <xdr:cNvPr id="249" name="TextBox 248">
          <a:extLst>
            <a:ext uri="{FF2B5EF4-FFF2-40B4-BE49-F238E27FC236}">
              <a16:creationId xmlns:a16="http://schemas.microsoft.com/office/drawing/2014/main" id="{00000000-0008-0000-0100-0000F9000000}"/>
            </a:ext>
          </a:extLst>
        </xdr:cNvPr>
        <xdr:cNvSpPr txBox="1"/>
      </xdr:nvSpPr>
      <xdr:spPr>
        <a:xfrm>
          <a:off x="4933950" y="94931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50</xdr:row>
      <xdr:rowOff>0</xdr:rowOff>
    </xdr:from>
    <xdr:ext cx="184731" cy="264560"/>
    <xdr:sp macro="" textlink="">
      <xdr:nvSpPr>
        <xdr:cNvPr id="250" name="TextBox 249">
          <a:extLst>
            <a:ext uri="{FF2B5EF4-FFF2-40B4-BE49-F238E27FC236}">
              <a16:creationId xmlns:a16="http://schemas.microsoft.com/office/drawing/2014/main" id="{00000000-0008-0000-0100-0000FA000000}"/>
            </a:ext>
          </a:extLst>
        </xdr:cNvPr>
        <xdr:cNvSpPr txBox="1"/>
      </xdr:nvSpPr>
      <xdr:spPr>
        <a:xfrm>
          <a:off x="4933950" y="9439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50</xdr:row>
      <xdr:rowOff>53915</xdr:rowOff>
    </xdr:from>
    <xdr:ext cx="184731" cy="264560"/>
    <xdr:sp macro="" textlink="">
      <xdr:nvSpPr>
        <xdr:cNvPr id="251" name="TextBox 250">
          <a:extLst>
            <a:ext uri="{FF2B5EF4-FFF2-40B4-BE49-F238E27FC236}">
              <a16:creationId xmlns:a16="http://schemas.microsoft.com/office/drawing/2014/main" id="{00000000-0008-0000-0100-0000FB000000}"/>
            </a:ext>
          </a:extLst>
        </xdr:cNvPr>
        <xdr:cNvSpPr txBox="1"/>
      </xdr:nvSpPr>
      <xdr:spPr>
        <a:xfrm>
          <a:off x="4933950" y="94931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50</xdr:row>
      <xdr:rowOff>53915</xdr:rowOff>
    </xdr:from>
    <xdr:ext cx="184731" cy="264560"/>
    <xdr:sp macro="" textlink="">
      <xdr:nvSpPr>
        <xdr:cNvPr id="252" name="TextBox 251">
          <a:extLst>
            <a:ext uri="{FF2B5EF4-FFF2-40B4-BE49-F238E27FC236}">
              <a16:creationId xmlns:a16="http://schemas.microsoft.com/office/drawing/2014/main" id="{00000000-0008-0000-0100-0000FC000000}"/>
            </a:ext>
          </a:extLst>
        </xdr:cNvPr>
        <xdr:cNvSpPr txBox="1"/>
      </xdr:nvSpPr>
      <xdr:spPr>
        <a:xfrm>
          <a:off x="4933950" y="94931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50</xdr:row>
      <xdr:rowOff>53915</xdr:rowOff>
    </xdr:from>
    <xdr:ext cx="184731" cy="264560"/>
    <xdr:sp macro="" textlink="">
      <xdr:nvSpPr>
        <xdr:cNvPr id="253" name="TextBox 252">
          <a:extLst>
            <a:ext uri="{FF2B5EF4-FFF2-40B4-BE49-F238E27FC236}">
              <a16:creationId xmlns:a16="http://schemas.microsoft.com/office/drawing/2014/main" id="{00000000-0008-0000-0100-0000FD000000}"/>
            </a:ext>
          </a:extLst>
        </xdr:cNvPr>
        <xdr:cNvSpPr txBox="1"/>
      </xdr:nvSpPr>
      <xdr:spPr>
        <a:xfrm>
          <a:off x="4933950" y="94931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50</xdr:row>
      <xdr:rowOff>53915</xdr:rowOff>
    </xdr:from>
    <xdr:ext cx="184731" cy="264560"/>
    <xdr:sp macro="" textlink="">
      <xdr:nvSpPr>
        <xdr:cNvPr id="254" name="TextBox 253">
          <a:extLst>
            <a:ext uri="{FF2B5EF4-FFF2-40B4-BE49-F238E27FC236}">
              <a16:creationId xmlns:a16="http://schemas.microsoft.com/office/drawing/2014/main" id="{00000000-0008-0000-0100-0000FE000000}"/>
            </a:ext>
          </a:extLst>
        </xdr:cNvPr>
        <xdr:cNvSpPr txBox="1"/>
      </xdr:nvSpPr>
      <xdr:spPr>
        <a:xfrm>
          <a:off x="4933950" y="94931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50</xdr:row>
      <xdr:rowOff>0</xdr:rowOff>
    </xdr:from>
    <xdr:ext cx="184731" cy="264560"/>
    <xdr:sp macro="" textlink="">
      <xdr:nvSpPr>
        <xdr:cNvPr id="255" name="TextBox 254">
          <a:extLst>
            <a:ext uri="{FF2B5EF4-FFF2-40B4-BE49-F238E27FC236}">
              <a16:creationId xmlns:a16="http://schemas.microsoft.com/office/drawing/2014/main" id="{00000000-0008-0000-0100-0000FF000000}"/>
            </a:ext>
          </a:extLst>
        </xdr:cNvPr>
        <xdr:cNvSpPr txBox="1"/>
      </xdr:nvSpPr>
      <xdr:spPr>
        <a:xfrm>
          <a:off x="4933950" y="9439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50</xdr:row>
      <xdr:rowOff>53915</xdr:rowOff>
    </xdr:from>
    <xdr:ext cx="184731" cy="264560"/>
    <xdr:sp macro="" textlink="">
      <xdr:nvSpPr>
        <xdr:cNvPr id="256" name="TextBox 255">
          <a:extLst>
            <a:ext uri="{FF2B5EF4-FFF2-40B4-BE49-F238E27FC236}">
              <a16:creationId xmlns:a16="http://schemas.microsoft.com/office/drawing/2014/main" id="{00000000-0008-0000-0100-000000010000}"/>
            </a:ext>
          </a:extLst>
        </xdr:cNvPr>
        <xdr:cNvSpPr txBox="1"/>
      </xdr:nvSpPr>
      <xdr:spPr>
        <a:xfrm>
          <a:off x="4933950" y="94931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51</xdr:row>
      <xdr:rowOff>53915</xdr:rowOff>
    </xdr:from>
    <xdr:ext cx="184731" cy="264560"/>
    <xdr:sp macro="" textlink="">
      <xdr:nvSpPr>
        <xdr:cNvPr id="257" name="TextBox 256">
          <a:extLst>
            <a:ext uri="{FF2B5EF4-FFF2-40B4-BE49-F238E27FC236}">
              <a16:creationId xmlns:a16="http://schemas.microsoft.com/office/drawing/2014/main" id="{00000000-0008-0000-0100-000001010000}"/>
            </a:ext>
          </a:extLst>
        </xdr:cNvPr>
        <xdr:cNvSpPr txBox="1"/>
      </xdr:nvSpPr>
      <xdr:spPr>
        <a:xfrm>
          <a:off x="4933950" y="96932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51</xdr:row>
      <xdr:rowOff>53915</xdr:rowOff>
    </xdr:from>
    <xdr:ext cx="184731" cy="264560"/>
    <xdr:sp macro="" textlink="">
      <xdr:nvSpPr>
        <xdr:cNvPr id="258" name="TextBox 257">
          <a:extLst>
            <a:ext uri="{FF2B5EF4-FFF2-40B4-BE49-F238E27FC236}">
              <a16:creationId xmlns:a16="http://schemas.microsoft.com/office/drawing/2014/main" id="{00000000-0008-0000-0100-000002010000}"/>
            </a:ext>
          </a:extLst>
        </xdr:cNvPr>
        <xdr:cNvSpPr txBox="1"/>
      </xdr:nvSpPr>
      <xdr:spPr>
        <a:xfrm>
          <a:off x="4933950" y="96932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51</xdr:row>
      <xdr:rowOff>53915</xdr:rowOff>
    </xdr:from>
    <xdr:ext cx="184731" cy="264560"/>
    <xdr:sp macro="" textlink="">
      <xdr:nvSpPr>
        <xdr:cNvPr id="259" name="TextBox 258">
          <a:extLst>
            <a:ext uri="{FF2B5EF4-FFF2-40B4-BE49-F238E27FC236}">
              <a16:creationId xmlns:a16="http://schemas.microsoft.com/office/drawing/2014/main" id="{00000000-0008-0000-0100-000003010000}"/>
            </a:ext>
          </a:extLst>
        </xdr:cNvPr>
        <xdr:cNvSpPr txBox="1"/>
      </xdr:nvSpPr>
      <xdr:spPr>
        <a:xfrm>
          <a:off x="4933950" y="96932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51</xdr:row>
      <xdr:rowOff>0</xdr:rowOff>
    </xdr:from>
    <xdr:ext cx="184731" cy="264560"/>
    <xdr:sp macro="" textlink="">
      <xdr:nvSpPr>
        <xdr:cNvPr id="260" name="TextBox 259">
          <a:extLst>
            <a:ext uri="{FF2B5EF4-FFF2-40B4-BE49-F238E27FC236}">
              <a16:creationId xmlns:a16="http://schemas.microsoft.com/office/drawing/2014/main" id="{00000000-0008-0000-0100-000004010000}"/>
            </a:ext>
          </a:extLst>
        </xdr:cNvPr>
        <xdr:cNvSpPr txBox="1"/>
      </xdr:nvSpPr>
      <xdr:spPr>
        <a:xfrm>
          <a:off x="4933950" y="9639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51</xdr:row>
      <xdr:rowOff>53915</xdr:rowOff>
    </xdr:from>
    <xdr:ext cx="184731" cy="264560"/>
    <xdr:sp macro="" textlink="">
      <xdr:nvSpPr>
        <xdr:cNvPr id="261" name="TextBox 260">
          <a:extLst>
            <a:ext uri="{FF2B5EF4-FFF2-40B4-BE49-F238E27FC236}">
              <a16:creationId xmlns:a16="http://schemas.microsoft.com/office/drawing/2014/main" id="{00000000-0008-0000-0100-000005010000}"/>
            </a:ext>
          </a:extLst>
        </xdr:cNvPr>
        <xdr:cNvSpPr txBox="1"/>
      </xdr:nvSpPr>
      <xdr:spPr>
        <a:xfrm>
          <a:off x="4933950" y="96932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50</xdr:row>
      <xdr:rowOff>53915</xdr:rowOff>
    </xdr:from>
    <xdr:ext cx="184731" cy="264560"/>
    <xdr:sp macro="" textlink="">
      <xdr:nvSpPr>
        <xdr:cNvPr id="262" name="TextBox 261">
          <a:extLst>
            <a:ext uri="{FF2B5EF4-FFF2-40B4-BE49-F238E27FC236}">
              <a16:creationId xmlns:a16="http://schemas.microsoft.com/office/drawing/2014/main" id="{00000000-0008-0000-0100-000006010000}"/>
            </a:ext>
          </a:extLst>
        </xdr:cNvPr>
        <xdr:cNvSpPr txBox="1"/>
      </xdr:nvSpPr>
      <xdr:spPr>
        <a:xfrm>
          <a:off x="4933950" y="94931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50</xdr:row>
      <xdr:rowOff>53915</xdr:rowOff>
    </xdr:from>
    <xdr:ext cx="184731" cy="264560"/>
    <xdr:sp macro="" textlink="">
      <xdr:nvSpPr>
        <xdr:cNvPr id="263" name="TextBox 262">
          <a:extLst>
            <a:ext uri="{FF2B5EF4-FFF2-40B4-BE49-F238E27FC236}">
              <a16:creationId xmlns:a16="http://schemas.microsoft.com/office/drawing/2014/main" id="{00000000-0008-0000-0100-000007010000}"/>
            </a:ext>
          </a:extLst>
        </xdr:cNvPr>
        <xdr:cNvSpPr txBox="1"/>
      </xdr:nvSpPr>
      <xdr:spPr>
        <a:xfrm>
          <a:off x="4933950" y="94931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50</xdr:row>
      <xdr:rowOff>53915</xdr:rowOff>
    </xdr:from>
    <xdr:ext cx="184731" cy="264560"/>
    <xdr:sp macro="" textlink="">
      <xdr:nvSpPr>
        <xdr:cNvPr id="264" name="TextBox 263">
          <a:extLst>
            <a:ext uri="{FF2B5EF4-FFF2-40B4-BE49-F238E27FC236}">
              <a16:creationId xmlns:a16="http://schemas.microsoft.com/office/drawing/2014/main" id="{00000000-0008-0000-0100-000008010000}"/>
            </a:ext>
          </a:extLst>
        </xdr:cNvPr>
        <xdr:cNvSpPr txBox="1"/>
      </xdr:nvSpPr>
      <xdr:spPr>
        <a:xfrm>
          <a:off x="4933950" y="94931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50</xdr:row>
      <xdr:rowOff>0</xdr:rowOff>
    </xdr:from>
    <xdr:ext cx="184731" cy="264560"/>
    <xdr:sp macro="" textlink="">
      <xdr:nvSpPr>
        <xdr:cNvPr id="265" name="TextBox 264">
          <a:extLst>
            <a:ext uri="{FF2B5EF4-FFF2-40B4-BE49-F238E27FC236}">
              <a16:creationId xmlns:a16="http://schemas.microsoft.com/office/drawing/2014/main" id="{00000000-0008-0000-0100-000009010000}"/>
            </a:ext>
          </a:extLst>
        </xdr:cNvPr>
        <xdr:cNvSpPr txBox="1"/>
      </xdr:nvSpPr>
      <xdr:spPr>
        <a:xfrm>
          <a:off x="4933950" y="9439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50</xdr:row>
      <xdr:rowOff>53915</xdr:rowOff>
    </xdr:from>
    <xdr:ext cx="184731" cy="264560"/>
    <xdr:sp macro="" textlink="">
      <xdr:nvSpPr>
        <xdr:cNvPr id="266" name="TextBox 265">
          <a:extLst>
            <a:ext uri="{FF2B5EF4-FFF2-40B4-BE49-F238E27FC236}">
              <a16:creationId xmlns:a16="http://schemas.microsoft.com/office/drawing/2014/main" id="{00000000-0008-0000-0100-00000A010000}"/>
            </a:ext>
          </a:extLst>
        </xdr:cNvPr>
        <xdr:cNvSpPr txBox="1"/>
      </xdr:nvSpPr>
      <xdr:spPr>
        <a:xfrm>
          <a:off x="4933950" y="94931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51</xdr:row>
      <xdr:rowOff>53915</xdr:rowOff>
    </xdr:from>
    <xdr:ext cx="184731" cy="264560"/>
    <xdr:sp macro="" textlink="">
      <xdr:nvSpPr>
        <xdr:cNvPr id="267" name="TextBox 266">
          <a:extLst>
            <a:ext uri="{FF2B5EF4-FFF2-40B4-BE49-F238E27FC236}">
              <a16:creationId xmlns:a16="http://schemas.microsoft.com/office/drawing/2014/main" id="{00000000-0008-0000-0100-00000B010000}"/>
            </a:ext>
          </a:extLst>
        </xdr:cNvPr>
        <xdr:cNvSpPr txBox="1"/>
      </xdr:nvSpPr>
      <xdr:spPr>
        <a:xfrm>
          <a:off x="4933950" y="96932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51</xdr:row>
      <xdr:rowOff>53915</xdr:rowOff>
    </xdr:from>
    <xdr:ext cx="184731" cy="264560"/>
    <xdr:sp macro="" textlink="">
      <xdr:nvSpPr>
        <xdr:cNvPr id="268" name="TextBox 267">
          <a:extLst>
            <a:ext uri="{FF2B5EF4-FFF2-40B4-BE49-F238E27FC236}">
              <a16:creationId xmlns:a16="http://schemas.microsoft.com/office/drawing/2014/main" id="{00000000-0008-0000-0100-00000C010000}"/>
            </a:ext>
          </a:extLst>
        </xdr:cNvPr>
        <xdr:cNvSpPr txBox="1"/>
      </xdr:nvSpPr>
      <xdr:spPr>
        <a:xfrm>
          <a:off x="4933950" y="96932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51</xdr:row>
      <xdr:rowOff>53915</xdr:rowOff>
    </xdr:from>
    <xdr:ext cx="184731" cy="264560"/>
    <xdr:sp macro="" textlink="">
      <xdr:nvSpPr>
        <xdr:cNvPr id="269" name="TextBox 268">
          <a:extLst>
            <a:ext uri="{FF2B5EF4-FFF2-40B4-BE49-F238E27FC236}">
              <a16:creationId xmlns:a16="http://schemas.microsoft.com/office/drawing/2014/main" id="{00000000-0008-0000-0100-00000D010000}"/>
            </a:ext>
          </a:extLst>
        </xdr:cNvPr>
        <xdr:cNvSpPr txBox="1"/>
      </xdr:nvSpPr>
      <xdr:spPr>
        <a:xfrm>
          <a:off x="4933950" y="96932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51</xdr:row>
      <xdr:rowOff>0</xdr:rowOff>
    </xdr:from>
    <xdr:ext cx="184731" cy="264560"/>
    <xdr:sp macro="" textlink="">
      <xdr:nvSpPr>
        <xdr:cNvPr id="270" name="TextBox 269">
          <a:extLst>
            <a:ext uri="{FF2B5EF4-FFF2-40B4-BE49-F238E27FC236}">
              <a16:creationId xmlns:a16="http://schemas.microsoft.com/office/drawing/2014/main" id="{00000000-0008-0000-0100-00000E010000}"/>
            </a:ext>
          </a:extLst>
        </xdr:cNvPr>
        <xdr:cNvSpPr txBox="1"/>
      </xdr:nvSpPr>
      <xdr:spPr>
        <a:xfrm>
          <a:off x="4933950" y="9639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51</xdr:row>
      <xdr:rowOff>53915</xdr:rowOff>
    </xdr:from>
    <xdr:ext cx="184731" cy="264560"/>
    <xdr:sp macro="" textlink="">
      <xdr:nvSpPr>
        <xdr:cNvPr id="271" name="TextBox 270">
          <a:extLst>
            <a:ext uri="{FF2B5EF4-FFF2-40B4-BE49-F238E27FC236}">
              <a16:creationId xmlns:a16="http://schemas.microsoft.com/office/drawing/2014/main" id="{00000000-0008-0000-0100-00000F010000}"/>
            </a:ext>
          </a:extLst>
        </xdr:cNvPr>
        <xdr:cNvSpPr txBox="1"/>
      </xdr:nvSpPr>
      <xdr:spPr>
        <a:xfrm>
          <a:off x="4933950" y="96932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50</xdr:row>
      <xdr:rowOff>53915</xdr:rowOff>
    </xdr:from>
    <xdr:ext cx="184731" cy="264560"/>
    <xdr:sp macro="" textlink="">
      <xdr:nvSpPr>
        <xdr:cNvPr id="272" name="TextBox 271">
          <a:extLst>
            <a:ext uri="{FF2B5EF4-FFF2-40B4-BE49-F238E27FC236}">
              <a16:creationId xmlns:a16="http://schemas.microsoft.com/office/drawing/2014/main" id="{00000000-0008-0000-0100-000010010000}"/>
            </a:ext>
          </a:extLst>
        </xdr:cNvPr>
        <xdr:cNvSpPr txBox="1"/>
      </xdr:nvSpPr>
      <xdr:spPr>
        <a:xfrm>
          <a:off x="4933950" y="94931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50</xdr:row>
      <xdr:rowOff>53915</xdr:rowOff>
    </xdr:from>
    <xdr:ext cx="184731" cy="264560"/>
    <xdr:sp macro="" textlink="">
      <xdr:nvSpPr>
        <xdr:cNvPr id="273" name="TextBox 272">
          <a:extLst>
            <a:ext uri="{FF2B5EF4-FFF2-40B4-BE49-F238E27FC236}">
              <a16:creationId xmlns:a16="http://schemas.microsoft.com/office/drawing/2014/main" id="{00000000-0008-0000-0100-000011010000}"/>
            </a:ext>
          </a:extLst>
        </xdr:cNvPr>
        <xdr:cNvSpPr txBox="1"/>
      </xdr:nvSpPr>
      <xdr:spPr>
        <a:xfrm>
          <a:off x="4933950" y="94931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50</xdr:row>
      <xdr:rowOff>53915</xdr:rowOff>
    </xdr:from>
    <xdr:ext cx="184731" cy="264560"/>
    <xdr:sp macro="" textlink="">
      <xdr:nvSpPr>
        <xdr:cNvPr id="274" name="TextBox 273">
          <a:extLst>
            <a:ext uri="{FF2B5EF4-FFF2-40B4-BE49-F238E27FC236}">
              <a16:creationId xmlns:a16="http://schemas.microsoft.com/office/drawing/2014/main" id="{00000000-0008-0000-0100-000012010000}"/>
            </a:ext>
          </a:extLst>
        </xdr:cNvPr>
        <xdr:cNvSpPr txBox="1"/>
      </xdr:nvSpPr>
      <xdr:spPr>
        <a:xfrm>
          <a:off x="4933950" y="94931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50</xdr:row>
      <xdr:rowOff>0</xdr:rowOff>
    </xdr:from>
    <xdr:ext cx="184731" cy="264560"/>
    <xdr:sp macro="" textlink="">
      <xdr:nvSpPr>
        <xdr:cNvPr id="275" name="TextBox 274">
          <a:extLst>
            <a:ext uri="{FF2B5EF4-FFF2-40B4-BE49-F238E27FC236}">
              <a16:creationId xmlns:a16="http://schemas.microsoft.com/office/drawing/2014/main" id="{00000000-0008-0000-0100-000013010000}"/>
            </a:ext>
          </a:extLst>
        </xdr:cNvPr>
        <xdr:cNvSpPr txBox="1"/>
      </xdr:nvSpPr>
      <xdr:spPr>
        <a:xfrm>
          <a:off x="4933950" y="9439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50</xdr:row>
      <xdr:rowOff>53915</xdr:rowOff>
    </xdr:from>
    <xdr:ext cx="184731" cy="264560"/>
    <xdr:sp macro="" textlink="">
      <xdr:nvSpPr>
        <xdr:cNvPr id="276" name="TextBox 275">
          <a:extLst>
            <a:ext uri="{FF2B5EF4-FFF2-40B4-BE49-F238E27FC236}">
              <a16:creationId xmlns:a16="http://schemas.microsoft.com/office/drawing/2014/main" id="{00000000-0008-0000-0100-000014010000}"/>
            </a:ext>
          </a:extLst>
        </xdr:cNvPr>
        <xdr:cNvSpPr txBox="1"/>
      </xdr:nvSpPr>
      <xdr:spPr>
        <a:xfrm>
          <a:off x="4933950" y="94931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51</xdr:row>
      <xdr:rowOff>53915</xdr:rowOff>
    </xdr:from>
    <xdr:ext cx="184731" cy="264560"/>
    <xdr:sp macro="" textlink="">
      <xdr:nvSpPr>
        <xdr:cNvPr id="277" name="TextBox 276">
          <a:extLst>
            <a:ext uri="{FF2B5EF4-FFF2-40B4-BE49-F238E27FC236}">
              <a16:creationId xmlns:a16="http://schemas.microsoft.com/office/drawing/2014/main" id="{00000000-0008-0000-0100-000015010000}"/>
            </a:ext>
          </a:extLst>
        </xdr:cNvPr>
        <xdr:cNvSpPr txBox="1"/>
      </xdr:nvSpPr>
      <xdr:spPr>
        <a:xfrm>
          <a:off x="4933950" y="96932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51</xdr:row>
      <xdr:rowOff>53915</xdr:rowOff>
    </xdr:from>
    <xdr:ext cx="184731" cy="264560"/>
    <xdr:sp macro="" textlink="">
      <xdr:nvSpPr>
        <xdr:cNvPr id="278" name="TextBox 277">
          <a:extLst>
            <a:ext uri="{FF2B5EF4-FFF2-40B4-BE49-F238E27FC236}">
              <a16:creationId xmlns:a16="http://schemas.microsoft.com/office/drawing/2014/main" id="{00000000-0008-0000-0100-000016010000}"/>
            </a:ext>
          </a:extLst>
        </xdr:cNvPr>
        <xdr:cNvSpPr txBox="1"/>
      </xdr:nvSpPr>
      <xdr:spPr>
        <a:xfrm>
          <a:off x="4933950" y="96932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51</xdr:row>
      <xdr:rowOff>53915</xdr:rowOff>
    </xdr:from>
    <xdr:ext cx="184731" cy="264560"/>
    <xdr:sp macro="" textlink="">
      <xdr:nvSpPr>
        <xdr:cNvPr id="279" name="TextBox 278">
          <a:extLst>
            <a:ext uri="{FF2B5EF4-FFF2-40B4-BE49-F238E27FC236}">
              <a16:creationId xmlns:a16="http://schemas.microsoft.com/office/drawing/2014/main" id="{00000000-0008-0000-0100-000017010000}"/>
            </a:ext>
          </a:extLst>
        </xdr:cNvPr>
        <xdr:cNvSpPr txBox="1"/>
      </xdr:nvSpPr>
      <xdr:spPr>
        <a:xfrm>
          <a:off x="4933950" y="96932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51</xdr:row>
      <xdr:rowOff>0</xdr:rowOff>
    </xdr:from>
    <xdr:ext cx="184731" cy="264560"/>
    <xdr:sp macro="" textlink="">
      <xdr:nvSpPr>
        <xdr:cNvPr id="280" name="TextBox 279">
          <a:extLst>
            <a:ext uri="{FF2B5EF4-FFF2-40B4-BE49-F238E27FC236}">
              <a16:creationId xmlns:a16="http://schemas.microsoft.com/office/drawing/2014/main" id="{00000000-0008-0000-0100-000018010000}"/>
            </a:ext>
          </a:extLst>
        </xdr:cNvPr>
        <xdr:cNvSpPr txBox="1"/>
      </xdr:nvSpPr>
      <xdr:spPr>
        <a:xfrm>
          <a:off x="4933950" y="9639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51</xdr:row>
      <xdr:rowOff>53915</xdr:rowOff>
    </xdr:from>
    <xdr:ext cx="184731" cy="264560"/>
    <xdr:sp macro="" textlink="">
      <xdr:nvSpPr>
        <xdr:cNvPr id="281" name="TextBox 280">
          <a:extLst>
            <a:ext uri="{FF2B5EF4-FFF2-40B4-BE49-F238E27FC236}">
              <a16:creationId xmlns:a16="http://schemas.microsoft.com/office/drawing/2014/main" id="{00000000-0008-0000-0100-000019010000}"/>
            </a:ext>
          </a:extLst>
        </xdr:cNvPr>
        <xdr:cNvSpPr txBox="1"/>
      </xdr:nvSpPr>
      <xdr:spPr>
        <a:xfrm>
          <a:off x="4933950" y="96932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50</xdr:row>
      <xdr:rowOff>53915</xdr:rowOff>
    </xdr:from>
    <xdr:ext cx="184731" cy="264560"/>
    <xdr:sp macro="" textlink="">
      <xdr:nvSpPr>
        <xdr:cNvPr id="282" name="TextBox 281">
          <a:extLst>
            <a:ext uri="{FF2B5EF4-FFF2-40B4-BE49-F238E27FC236}">
              <a16:creationId xmlns:a16="http://schemas.microsoft.com/office/drawing/2014/main" id="{00000000-0008-0000-0100-00001A010000}"/>
            </a:ext>
          </a:extLst>
        </xdr:cNvPr>
        <xdr:cNvSpPr txBox="1"/>
      </xdr:nvSpPr>
      <xdr:spPr>
        <a:xfrm>
          <a:off x="4933950" y="94931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50</xdr:row>
      <xdr:rowOff>53915</xdr:rowOff>
    </xdr:from>
    <xdr:ext cx="184731" cy="264560"/>
    <xdr:sp macro="" textlink="">
      <xdr:nvSpPr>
        <xdr:cNvPr id="283" name="TextBox 282">
          <a:extLst>
            <a:ext uri="{FF2B5EF4-FFF2-40B4-BE49-F238E27FC236}">
              <a16:creationId xmlns:a16="http://schemas.microsoft.com/office/drawing/2014/main" id="{00000000-0008-0000-0100-00001B010000}"/>
            </a:ext>
          </a:extLst>
        </xdr:cNvPr>
        <xdr:cNvSpPr txBox="1"/>
      </xdr:nvSpPr>
      <xdr:spPr>
        <a:xfrm>
          <a:off x="4933950" y="94931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50</xdr:row>
      <xdr:rowOff>53915</xdr:rowOff>
    </xdr:from>
    <xdr:ext cx="184731" cy="264560"/>
    <xdr:sp macro="" textlink="">
      <xdr:nvSpPr>
        <xdr:cNvPr id="284" name="TextBox 283">
          <a:extLst>
            <a:ext uri="{FF2B5EF4-FFF2-40B4-BE49-F238E27FC236}">
              <a16:creationId xmlns:a16="http://schemas.microsoft.com/office/drawing/2014/main" id="{00000000-0008-0000-0100-00001C010000}"/>
            </a:ext>
          </a:extLst>
        </xdr:cNvPr>
        <xdr:cNvSpPr txBox="1"/>
      </xdr:nvSpPr>
      <xdr:spPr>
        <a:xfrm>
          <a:off x="4933950" y="94931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50</xdr:row>
      <xdr:rowOff>0</xdr:rowOff>
    </xdr:from>
    <xdr:ext cx="184731" cy="264560"/>
    <xdr:sp macro="" textlink="">
      <xdr:nvSpPr>
        <xdr:cNvPr id="285" name="TextBox 284">
          <a:extLst>
            <a:ext uri="{FF2B5EF4-FFF2-40B4-BE49-F238E27FC236}">
              <a16:creationId xmlns:a16="http://schemas.microsoft.com/office/drawing/2014/main" id="{00000000-0008-0000-0100-00001D010000}"/>
            </a:ext>
          </a:extLst>
        </xdr:cNvPr>
        <xdr:cNvSpPr txBox="1"/>
      </xdr:nvSpPr>
      <xdr:spPr>
        <a:xfrm>
          <a:off x="4933950" y="9439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50</xdr:row>
      <xdr:rowOff>53915</xdr:rowOff>
    </xdr:from>
    <xdr:ext cx="184731" cy="264560"/>
    <xdr:sp macro="" textlink="">
      <xdr:nvSpPr>
        <xdr:cNvPr id="286" name="TextBox 285">
          <a:extLst>
            <a:ext uri="{FF2B5EF4-FFF2-40B4-BE49-F238E27FC236}">
              <a16:creationId xmlns:a16="http://schemas.microsoft.com/office/drawing/2014/main" id="{00000000-0008-0000-0100-00001E010000}"/>
            </a:ext>
          </a:extLst>
        </xdr:cNvPr>
        <xdr:cNvSpPr txBox="1"/>
      </xdr:nvSpPr>
      <xdr:spPr>
        <a:xfrm>
          <a:off x="4933950" y="94931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51</xdr:row>
      <xdr:rowOff>53915</xdr:rowOff>
    </xdr:from>
    <xdr:ext cx="184731" cy="264560"/>
    <xdr:sp macro="" textlink="">
      <xdr:nvSpPr>
        <xdr:cNvPr id="287" name="TextBox 286">
          <a:extLst>
            <a:ext uri="{FF2B5EF4-FFF2-40B4-BE49-F238E27FC236}">
              <a16:creationId xmlns:a16="http://schemas.microsoft.com/office/drawing/2014/main" id="{00000000-0008-0000-0100-00001F010000}"/>
            </a:ext>
          </a:extLst>
        </xdr:cNvPr>
        <xdr:cNvSpPr txBox="1"/>
      </xdr:nvSpPr>
      <xdr:spPr>
        <a:xfrm>
          <a:off x="4933950" y="96932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51</xdr:row>
      <xdr:rowOff>53915</xdr:rowOff>
    </xdr:from>
    <xdr:ext cx="184731" cy="264560"/>
    <xdr:sp macro="" textlink="">
      <xdr:nvSpPr>
        <xdr:cNvPr id="288" name="TextBox 287">
          <a:extLst>
            <a:ext uri="{FF2B5EF4-FFF2-40B4-BE49-F238E27FC236}">
              <a16:creationId xmlns:a16="http://schemas.microsoft.com/office/drawing/2014/main" id="{00000000-0008-0000-0100-000020010000}"/>
            </a:ext>
          </a:extLst>
        </xdr:cNvPr>
        <xdr:cNvSpPr txBox="1"/>
      </xdr:nvSpPr>
      <xdr:spPr>
        <a:xfrm>
          <a:off x="4933950" y="96932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51</xdr:row>
      <xdr:rowOff>53915</xdr:rowOff>
    </xdr:from>
    <xdr:ext cx="184731" cy="264560"/>
    <xdr:sp macro="" textlink="">
      <xdr:nvSpPr>
        <xdr:cNvPr id="289" name="TextBox 288">
          <a:extLst>
            <a:ext uri="{FF2B5EF4-FFF2-40B4-BE49-F238E27FC236}">
              <a16:creationId xmlns:a16="http://schemas.microsoft.com/office/drawing/2014/main" id="{00000000-0008-0000-0100-000021010000}"/>
            </a:ext>
          </a:extLst>
        </xdr:cNvPr>
        <xdr:cNvSpPr txBox="1"/>
      </xdr:nvSpPr>
      <xdr:spPr>
        <a:xfrm>
          <a:off x="4933950" y="96932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51</xdr:row>
      <xdr:rowOff>0</xdr:rowOff>
    </xdr:from>
    <xdr:ext cx="184731" cy="264560"/>
    <xdr:sp macro="" textlink="">
      <xdr:nvSpPr>
        <xdr:cNvPr id="290" name="TextBox 289">
          <a:extLst>
            <a:ext uri="{FF2B5EF4-FFF2-40B4-BE49-F238E27FC236}">
              <a16:creationId xmlns:a16="http://schemas.microsoft.com/office/drawing/2014/main" id="{00000000-0008-0000-0100-000022010000}"/>
            </a:ext>
          </a:extLst>
        </xdr:cNvPr>
        <xdr:cNvSpPr txBox="1"/>
      </xdr:nvSpPr>
      <xdr:spPr>
        <a:xfrm>
          <a:off x="4933950" y="9639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51</xdr:row>
      <xdr:rowOff>53915</xdr:rowOff>
    </xdr:from>
    <xdr:ext cx="184731" cy="264560"/>
    <xdr:sp macro="" textlink="">
      <xdr:nvSpPr>
        <xdr:cNvPr id="291" name="TextBox 290">
          <a:extLst>
            <a:ext uri="{FF2B5EF4-FFF2-40B4-BE49-F238E27FC236}">
              <a16:creationId xmlns:a16="http://schemas.microsoft.com/office/drawing/2014/main" id="{00000000-0008-0000-0100-000023010000}"/>
            </a:ext>
          </a:extLst>
        </xdr:cNvPr>
        <xdr:cNvSpPr txBox="1"/>
      </xdr:nvSpPr>
      <xdr:spPr>
        <a:xfrm>
          <a:off x="4933950" y="96932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57</xdr:row>
      <xdr:rowOff>53915</xdr:rowOff>
    </xdr:from>
    <xdr:ext cx="184731" cy="264560"/>
    <xdr:sp macro="" textlink="">
      <xdr:nvSpPr>
        <xdr:cNvPr id="292" name="TextBox 291">
          <a:extLst>
            <a:ext uri="{FF2B5EF4-FFF2-40B4-BE49-F238E27FC236}">
              <a16:creationId xmlns:a16="http://schemas.microsoft.com/office/drawing/2014/main" id="{00000000-0008-0000-0100-000024010000}"/>
            </a:ext>
          </a:extLst>
        </xdr:cNvPr>
        <xdr:cNvSpPr txBox="1"/>
      </xdr:nvSpPr>
      <xdr:spPr>
        <a:xfrm>
          <a:off x="4933950" y="108933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57</xdr:row>
      <xdr:rowOff>53915</xdr:rowOff>
    </xdr:from>
    <xdr:ext cx="184731" cy="264560"/>
    <xdr:sp macro="" textlink="">
      <xdr:nvSpPr>
        <xdr:cNvPr id="293" name="TextBox 292">
          <a:extLst>
            <a:ext uri="{FF2B5EF4-FFF2-40B4-BE49-F238E27FC236}">
              <a16:creationId xmlns:a16="http://schemas.microsoft.com/office/drawing/2014/main" id="{00000000-0008-0000-0100-000025010000}"/>
            </a:ext>
          </a:extLst>
        </xdr:cNvPr>
        <xdr:cNvSpPr txBox="1"/>
      </xdr:nvSpPr>
      <xdr:spPr>
        <a:xfrm>
          <a:off x="4933950" y="108933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57</xdr:row>
      <xdr:rowOff>53915</xdr:rowOff>
    </xdr:from>
    <xdr:ext cx="184731" cy="264560"/>
    <xdr:sp macro="" textlink="">
      <xdr:nvSpPr>
        <xdr:cNvPr id="294" name="TextBox 293">
          <a:extLst>
            <a:ext uri="{FF2B5EF4-FFF2-40B4-BE49-F238E27FC236}">
              <a16:creationId xmlns:a16="http://schemas.microsoft.com/office/drawing/2014/main" id="{00000000-0008-0000-0100-000026010000}"/>
            </a:ext>
          </a:extLst>
        </xdr:cNvPr>
        <xdr:cNvSpPr txBox="1"/>
      </xdr:nvSpPr>
      <xdr:spPr>
        <a:xfrm>
          <a:off x="4933950" y="108933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57</xdr:row>
      <xdr:rowOff>0</xdr:rowOff>
    </xdr:from>
    <xdr:ext cx="184731" cy="264560"/>
    <xdr:sp macro="" textlink="">
      <xdr:nvSpPr>
        <xdr:cNvPr id="295" name="TextBox 294">
          <a:extLst>
            <a:ext uri="{FF2B5EF4-FFF2-40B4-BE49-F238E27FC236}">
              <a16:creationId xmlns:a16="http://schemas.microsoft.com/office/drawing/2014/main" id="{00000000-0008-0000-0100-000027010000}"/>
            </a:ext>
          </a:extLst>
        </xdr:cNvPr>
        <xdr:cNvSpPr txBox="1"/>
      </xdr:nvSpPr>
      <xdr:spPr>
        <a:xfrm>
          <a:off x="4933950" y="1083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57</xdr:row>
      <xdr:rowOff>53915</xdr:rowOff>
    </xdr:from>
    <xdr:ext cx="184731" cy="264560"/>
    <xdr:sp macro="" textlink="">
      <xdr:nvSpPr>
        <xdr:cNvPr id="296" name="TextBox 295">
          <a:extLst>
            <a:ext uri="{FF2B5EF4-FFF2-40B4-BE49-F238E27FC236}">
              <a16:creationId xmlns:a16="http://schemas.microsoft.com/office/drawing/2014/main" id="{00000000-0008-0000-0100-000028010000}"/>
            </a:ext>
          </a:extLst>
        </xdr:cNvPr>
        <xdr:cNvSpPr txBox="1"/>
      </xdr:nvSpPr>
      <xdr:spPr>
        <a:xfrm>
          <a:off x="4933950" y="108933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57</xdr:row>
      <xdr:rowOff>53915</xdr:rowOff>
    </xdr:from>
    <xdr:ext cx="184731" cy="264560"/>
    <xdr:sp macro="" textlink="">
      <xdr:nvSpPr>
        <xdr:cNvPr id="297" name="TextBox 296">
          <a:extLst>
            <a:ext uri="{FF2B5EF4-FFF2-40B4-BE49-F238E27FC236}">
              <a16:creationId xmlns:a16="http://schemas.microsoft.com/office/drawing/2014/main" id="{00000000-0008-0000-0100-000029010000}"/>
            </a:ext>
          </a:extLst>
        </xdr:cNvPr>
        <xdr:cNvSpPr txBox="1"/>
      </xdr:nvSpPr>
      <xdr:spPr>
        <a:xfrm>
          <a:off x="4933950" y="108933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57</xdr:row>
      <xdr:rowOff>53915</xdr:rowOff>
    </xdr:from>
    <xdr:ext cx="184731" cy="264560"/>
    <xdr:sp macro="" textlink="">
      <xdr:nvSpPr>
        <xdr:cNvPr id="298" name="TextBox 297">
          <a:extLst>
            <a:ext uri="{FF2B5EF4-FFF2-40B4-BE49-F238E27FC236}">
              <a16:creationId xmlns:a16="http://schemas.microsoft.com/office/drawing/2014/main" id="{00000000-0008-0000-0100-00002A010000}"/>
            </a:ext>
          </a:extLst>
        </xdr:cNvPr>
        <xdr:cNvSpPr txBox="1"/>
      </xdr:nvSpPr>
      <xdr:spPr>
        <a:xfrm>
          <a:off x="4933950" y="108933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57</xdr:row>
      <xdr:rowOff>53915</xdr:rowOff>
    </xdr:from>
    <xdr:ext cx="184731" cy="264560"/>
    <xdr:sp macro="" textlink="">
      <xdr:nvSpPr>
        <xdr:cNvPr id="299" name="TextBox 298">
          <a:extLst>
            <a:ext uri="{FF2B5EF4-FFF2-40B4-BE49-F238E27FC236}">
              <a16:creationId xmlns:a16="http://schemas.microsoft.com/office/drawing/2014/main" id="{00000000-0008-0000-0100-00002B010000}"/>
            </a:ext>
          </a:extLst>
        </xdr:cNvPr>
        <xdr:cNvSpPr txBox="1"/>
      </xdr:nvSpPr>
      <xdr:spPr>
        <a:xfrm>
          <a:off x="4933950" y="108933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57</xdr:row>
      <xdr:rowOff>0</xdr:rowOff>
    </xdr:from>
    <xdr:ext cx="184731" cy="264560"/>
    <xdr:sp macro="" textlink="">
      <xdr:nvSpPr>
        <xdr:cNvPr id="300" name="TextBox 299">
          <a:extLst>
            <a:ext uri="{FF2B5EF4-FFF2-40B4-BE49-F238E27FC236}">
              <a16:creationId xmlns:a16="http://schemas.microsoft.com/office/drawing/2014/main" id="{00000000-0008-0000-0100-00002C010000}"/>
            </a:ext>
          </a:extLst>
        </xdr:cNvPr>
        <xdr:cNvSpPr txBox="1"/>
      </xdr:nvSpPr>
      <xdr:spPr>
        <a:xfrm>
          <a:off x="4933950" y="1083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57</xdr:row>
      <xdr:rowOff>53915</xdr:rowOff>
    </xdr:from>
    <xdr:ext cx="184731" cy="264560"/>
    <xdr:sp macro="" textlink="">
      <xdr:nvSpPr>
        <xdr:cNvPr id="301" name="TextBox 300">
          <a:extLst>
            <a:ext uri="{FF2B5EF4-FFF2-40B4-BE49-F238E27FC236}">
              <a16:creationId xmlns:a16="http://schemas.microsoft.com/office/drawing/2014/main" id="{00000000-0008-0000-0100-00002D010000}"/>
            </a:ext>
          </a:extLst>
        </xdr:cNvPr>
        <xdr:cNvSpPr txBox="1"/>
      </xdr:nvSpPr>
      <xdr:spPr>
        <a:xfrm>
          <a:off x="4933950" y="108933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57</xdr:row>
      <xdr:rowOff>53915</xdr:rowOff>
    </xdr:from>
    <xdr:ext cx="184731" cy="264560"/>
    <xdr:sp macro="" textlink="">
      <xdr:nvSpPr>
        <xdr:cNvPr id="302" name="TextBox 301">
          <a:extLst>
            <a:ext uri="{FF2B5EF4-FFF2-40B4-BE49-F238E27FC236}">
              <a16:creationId xmlns:a16="http://schemas.microsoft.com/office/drawing/2014/main" id="{00000000-0008-0000-0100-00002E010000}"/>
            </a:ext>
          </a:extLst>
        </xdr:cNvPr>
        <xdr:cNvSpPr txBox="1"/>
      </xdr:nvSpPr>
      <xdr:spPr>
        <a:xfrm>
          <a:off x="4933950" y="108933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57</xdr:row>
      <xdr:rowOff>53915</xdr:rowOff>
    </xdr:from>
    <xdr:ext cx="184731" cy="264560"/>
    <xdr:sp macro="" textlink="">
      <xdr:nvSpPr>
        <xdr:cNvPr id="303" name="TextBox 302">
          <a:extLst>
            <a:ext uri="{FF2B5EF4-FFF2-40B4-BE49-F238E27FC236}">
              <a16:creationId xmlns:a16="http://schemas.microsoft.com/office/drawing/2014/main" id="{00000000-0008-0000-0100-00002F010000}"/>
            </a:ext>
          </a:extLst>
        </xdr:cNvPr>
        <xdr:cNvSpPr txBox="1"/>
      </xdr:nvSpPr>
      <xdr:spPr>
        <a:xfrm>
          <a:off x="4933950" y="108933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57</xdr:row>
      <xdr:rowOff>53915</xdr:rowOff>
    </xdr:from>
    <xdr:ext cx="184731" cy="264560"/>
    <xdr:sp macro="" textlink="">
      <xdr:nvSpPr>
        <xdr:cNvPr id="304" name="TextBox 303">
          <a:extLst>
            <a:ext uri="{FF2B5EF4-FFF2-40B4-BE49-F238E27FC236}">
              <a16:creationId xmlns:a16="http://schemas.microsoft.com/office/drawing/2014/main" id="{00000000-0008-0000-0100-000030010000}"/>
            </a:ext>
          </a:extLst>
        </xdr:cNvPr>
        <xdr:cNvSpPr txBox="1"/>
      </xdr:nvSpPr>
      <xdr:spPr>
        <a:xfrm>
          <a:off x="4933950" y="108933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57</xdr:row>
      <xdr:rowOff>0</xdr:rowOff>
    </xdr:from>
    <xdr:ext cx="184731" cy="264560"/>
    <xdr:sp macro="" textlink="">
      <xdr:nvSpPr>
        <xdr:cNvPr id="305" name="TextBox 304">
          <a:extLst>
            <a:ext uri="{FF2B5EF4-FFF2-40B4-BE49-F238E27FC236}">
              <a16:creationId xmlns:a16="http://schemas.microsoft.com/office/drawing/2014/main" id="{00000000-0008-0000-0100-000031010000}"/>
            </a:ext>
          </a:extLst>
        </xdr:cNvPr>
        <xdr:cNvSpPr txBox="1"/>
      </xdr:nvSpPr>
      <xdr:spPr>
        <a:xfrm>
          <a:off x="4933950" y="1083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57</xdr:row>
      <xdr:rowOff>53915</xdr:rowOff>
    </xdr:from>
    <xdr:ext cx="184731" cy="264560"/>
    <xdr:sp macro="" textlink="">
      <xdr:nvSpPr>
        <xdr:cNvPr id="306" name="TextBox 305">
          <a:extLst>
            <a:ext uri="{FF2B5EF4-FFF2-40B4-BE49-F238E27FC236}">
              <a16:creationId xmlns:a16="http://schemas.microsoft.com/office/drawing/2014/main" id="{00000000-0008-0000-0100-000032010000}"/>
            </a:ext>
          </a:extLst>
        </xdr:cNvPr>
        <xdr:cNvSpPr txBox="1"/>
      </xdr:nvSpPr>
      <xdr:spPr>
        <a:xfrm>
          <a:off x="4933950" y="108933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58</xdr:row>
      <xdr:rowOff>53915</xdr:rowOff>
    </xdr:from>
    <xdr:ext cx="184731" cy="264560"/>
    <xdr:sp macro="" textlink="">
      <xdr:nvSpPr>
        <xdr:cNvPr id="307" name="TextBox 306">
          <a:extLst>
            <a:ext uri="{FF2B5EF4-FFF2-40B4-BE49-F238E27FC236}">
              <a16:creationId xmlns:a16="http://schemas.microsoft.com/office/drawing/2014/main" id="{00000000-0008-0000-0100-000033010000}"/>
            </a:ext>
          </a:extLst>
        </xdr:cNvPr>
        <xdr:cNvSpPr txBox="1"/>
      </xdr:nvSpPr>
      <xdr:spPr>
        <a:xfrm>
          <a:off x="4933950" y="110933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58</xdr:row>
      <xdr:rowOff>53915</xdr:rowOff>
    </xdr:from>
    <xdr:ext cx="184731" cy="264560"/>
    <xdr:sp macro="" textlink="">
      <xdr:nvSpPr>
        <xdr:cNvPr id="308" name="TextBox 307">
          <a:extLst>
            <a:ext uri="{FF2B5EF4-FFF2-40B4-BE49-F238E27FC236}">
              <a16:creationId xmlns:a16="http://schemas.microsoft.com/office/drawing/2014/main" id="{00000000-0008-0000-0100-000034010000}"/>
            </a:ext>
          </a:extLst>
        </xdr:cNvPr>
        <xdr:cNvSpPr txBox="1"/>
      </xdr:nvSpPr>
      <xdr:spPr>
        <a:xfrm>
          <a:off x="4933950" y="110933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58</xdr:row>
      <xdr:rowOff>53915</xdr:rowOff>
    </xdr:from>
    <xdr:ext cx="184731" cy="264560"/>
    <xdr:sp macro="" textlink="">
      <xdr:nvSpPr>
        <xdr:cNvPr id="309" name="TextBox 308">
          <a:extLst>
            <a:ext uri="{FF2B5EF4-FFF2-40B4-BE49-F238E27FC236}">
              <a16:creationId xmlns:a16="http://schemas.microsoft.com/office/drawing/2014/main" id="{00000000-0008-0000-0100-000035010000}"/>
            </a:ext>
          </a:extLst>
        </xdr:cNvPr>
        <xdr:cNvSpPr txBox="1"/>
      </xdr:nvSpPr>
      <xdr:spPr>
        <a:xfrm>
          <a:off x="4933950" y="110933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58</xdr:row>
      <xdr:rowOff>0</xdr:rowOff>
    </xdr:from>
    <xdr:ext cx="184731" cy="264560"/>
    <xdr:sp macro="" textlink="">
      <xdr:nvSpPr>
        <xdr:cNvPr id="310" name="TextBox 309">
          <a:extLst>
            <a:ext uri="{FF2B5EF4-FFF2-40B4-BE49-F238E27FC236}">
              <a16:creationId xmlns:a16="http://schemas.microsoft.com/office/drawing/2014/main" id="{00000000-0008-0000-0100-000036010000}"/>
            </a:ext>
          </a:extLst>
        </xdr:cNvPr>
        <xdr:cNvSpPr txBox="1"/>
      </xdr:nvSpPr>
      <xdr:spPr>
        <a:xfrm>
          <a:off x="4933950" y="11039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58</xdr:row>
      <xdr:rowOff>53915</xdr:rowOff>
    </xdr:from>
    <xdr:ext cx="184731" cy="264560"/>
    <xdr:sp macro="" textlink="">
      <xdr:nvSpPr>
        <xdr:cNvPr id="311" name="TextBox 310">
          <a:extLst>
            <a:ext uri="{FF2B5EF4-FFF2-40B4-BE49-F238E27FC236}">
              <a16:creationId xmlns:a16="http://schemas.microsoft.com/office/drawing/2014/main" id="{00000000-0008-0000-0100-000037010000}"/>
            </a:ext>
          </a:extLst>
        </xdr:cNvPr>
        <xdr:cNvSpPr txBox="1"/>
      </xdr:nvSpPr>
      <xdr:spPr>
        <a:xfrm>
          <a:off x="4933950" y="110933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57</xdr:row>
      <xdr:rowOff>53915</xdr:rowOff>
    </xdr:from>
    <xdr:ext cx="184731" cy="264560"/>
    <xdr:sp macro="" textlink="">
      <xdr:nvSpPr>
        <xdr:cNvPr id="312" name="TextBox 311">
          <a:extLst>
            <a:ext uri="{FF2B5EF4-FFF2-40B4-BE49-F238E27FC236}">
              <a16:creationId xmlns:a16="http://schemas.microsoft.com/office/drawing/2014/main" id="{00000000-0008-0000-0100-000038010000}"/>
            </a:ext>
          </a:extLst>
        </xdr:cNvPr>
        <xdr:cNvSpPr txBox="1"/>
      </xdr:nvSpPr>
      <xdr:spPr>
        <a:xfrm>
          <a:off x="4933950" y="108933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57</xdr:row>
      <xdr:rowOff>53915</xdr:rowOff>
    </xdr:from>
    <xdr:ext cx="184731" cy="264560"/>
    <xdr:sp macro="" textlink="">
      <xdr:nvSpPr>
        <xdr:cNvPr id="313" name="TextBox 312">
          <a:extLst>
            <a:ext uri="{FF2B5EF4-FFF2-40B4-BE49-F238E27FC236}">
              <a16:creationId xmlns:a16="http://schemas.microsoft.com/office/drawing/2014/main" id="{00000000-0008-0000-0100-000039010000}"/>
            </a:ext>
          </a:extLst>
        </xdr:cNvPr>
        <xdr:cNvSpPr txBox="1"/>
      </xdr:nvSpPr>
      <xdr:spPr>
        <a:xfrm>
          <a:off x="4933950" y="108933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57</xdr:row>
      <xdr:rowOff>53915</xdr:rowOff>
    </xdr:from>
    <xdr:ext cx="184731" cy="264560"/>
    <xdr:sp macro="" textlink="">
      <xdr:nvSpPr>
        <xdr:cNvPr id="314" name="TextBox 313">
          <a:extLst>
            <a:ext uri="{FF2B5EF4-FFF2-40B4-BE49-F238E27FC236}">
              <a16:creationId xmlns:a16="http://schemas.microsoft.com/office/drawing/2014/main" id="{00000000-0008-0000-0100-00003A010000}"/>
            </a:ext>
          </a:extLst>
        </xdr:cNvPr>
        <xdr:cNvSpPr txBox="1"/>
      </xdr:nvSpPr>
      <xdr:spPr>
        <a:xfrm>
          <a:off x="4933950" y="108933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57</xdr:row>
      <xdr:rowOff>0</xdr:rowOff>
    </xdr:from>
    <xdr:ext cx="184731" cy="264560"/>
    <xdr:sp macro="" textlink="">
      <xdr:nvSpPr>
        <xdr:cNvPr id="315" name="TextBox 314">
          <a:extLst>
            <a:ext uri="{FF2B5EF4-FFF2-40B4-BE49-F238E27FC236}">
              <a16:creationId xmlns:a16="http://schemas.microsoft.com/office/drawing/2014/main" id="{00000000-0008-0000-0100-00003B010000}"/>
            </a:ext>
          </a:extLst>
        </xdr:cNvPr>
        <xdr:cNvSpPr txBox="1"/>
      </xdr:nvSpPr>
      <xdr:spPr>
        <a:xfrm>
          <a:off x="4933950" y="1083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57</xdr:row>
      <xdr:rowOff>53915</xdr:rowOff>
    </xdr:from>
    <xdr:ext cx="184731" cy="264560"/>
    <xdr:sp macro="" textlink="">
      <xdr:nvSpPr>
        <xdr:cNvPr id="316" name="TextBox 315">
          <a:extLst>
            <a:ext uri="{FF2B5EF4-FFF2-40B4-BE49-F238E27FC236}">
              <a16:creationId xmlns:a16="http://schemas.microsoft.com/office/drawing/2014/main" id="{00000000-0008-0000-0100-00003C010000}"/>
            </a:ext>
          </a:extLst>
        </xdr:cNvPr>
        <xdr:cNvSpPr txBox="1"/>
      </xdr:nvSpPr>
      <xdr:spPr>
        <a:xfrm>
          <a:off x="4933950" y="108933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58</xdr:row>
      <xdr:rowOff>53915</xdr:rowOff>
    </xdr:from>
    <xdr:ext cx="184731" cy="264560"/>
    <xdr:sp macro="" textlink="">
      <xdr:nvSpPr>
        <xdr:cNvPr id="317" name="TextBox 316">
          <a:extLst>
            <a:ext uri="{FF2B5EF4-FFF2-40B4-BE49-F238E27FC236}">
              <a16:creationId xmlns:a16="http://schemas.microsoft.com/office/drawing/2014/main" id="{00000000-0008-0000-0100-00003D010000}"/>
            </a:ext>
          </a:extLst>
        </xdr:cNvPr>
        <xdr:cNvSpPr txBox="1"/>
      </xdr:nvSpPr>
      <xdr:spPr>
        <a:xfrm>
          <a:off x="4933950" y="110933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58</xdr:row>
      <xdr:rowOff>53915</xdr:rowOff>
    </xdr:from>
    <xdr:ext cx="184731" cy="264560"/>
    <xdr:sp macro="" textlink="">
      <xdr:nvSpPr>
        <xdr:cNvPr id="318" name="TextBox 317">
          <a:extLst>
            <a:ext uri="{FF2B5EF4-FFF2-40B4-BE49-F238E27FC236}">
              <a16:creationId xmlns:a16="http://schemas.microsoft.com/office/drawing/2014/main" id="{00000000-0008-0000-0100-00003E010000}"/>
            </a:ext>
          </a:extLst>
        </xdr:cNvPr>
        <xdr:cNvSpPr txBox="1"/>
      </xdr:nvSpPr>
      <xdr:spPr>
        <a:xfrm>
          <a:off x="4933950" y="110933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58</xdr:row>
      <xdr:rowOff>53915</xdr:rowOff>
    </xdr:from>
    <xdr:ext cx="184731" cy="264560"/>
    <xdr:sp macro="" textlink="">
      <xdr:nvSpPr>
        <xdr:cNvPr id="319" name="TextBox 318">
          <a:extLst>
            <a:ext uri="{FF2B5EF4-FFF2-40B4-BE49-F238E27FC236}">
              <a16:creationId xmlns:a16="http://schemas.microsoft.com/office/drawing/2014/main" id="{00000000-0008-0000-0100-00003F010000}"/>
            </a:ext>
          </a:extLst>
        </xdr:cNvPr>
        <xdr:cNvSpPr txBox="1"/>
      </xdr:nvSpPr>
      <xdr:spPr>
        <a:xfrm>
          <a:off x="4933950" y="110933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58</xdr:row>
      <xdr:rowOff>0</xdr:rowOff>
    </xdr:from>
    <xdr:ext cx="184731" cy="264560"/>
    <xdr:sp macro="" textlink="">
      <xdr:nvSpPr>
        <xdr:cNvPr id="320" name="TextBox 319">
          <a:extLst>
            <a:ext uri="{FF2B5EF4-FFF2-40B4-BE49-F238E27FC236}">
              <a16:creationId xmlns:a16="http://schemas.microsoft.com/office/drawing/2014/main" id="{00000000-0008-0000-0100-000040010000}"/>
            </a:ext>
          </a:extLst>
        </xdr:cNvPr>
        <xdr:cNvSpPr txBox="1"/>
      </xdr:nvSpPr>
      <xdr:spPr>
        <a:xfrm>
          <a:off x="4933950" y="11039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58</xdr:row>
      <xdr:rowOff>53915</xdr:rowOff>
    </xdr:from>
    <xdr:ext cx="184731" cy="264560"/>
    <xdr:sp macro="" textlink="">
      <xdr:nvSpPr>
        <xdr:cNvPr id="321" name="TextBox 320">
          <a:extLst>
            <a:ext uri="{FF2B5EF4-FFF2-40B4-BE49-F238E27FC236}">
              <a16:creationId xmlns:a16="http://schemas.microsoft.com/office/drawing/2014/main" id="{00000000-0008-0000-0100-000041010000}"/>
            </a:ext>
          </a:extLst>
        </xdr:cNvPr>
        <xdr:cNvSpPr txBox="1"/>
      </xdr:nvSpPr>
      <xdr:spPr>
        <a:xfrm>
          <a:off x="4933950" y="110933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57</xdr:row>
      <xdr:rowOff>53915</xdr:rowOff>
    </xdr:from>
    <xdr:ext cx="184731" cy="264560"/>
    <xdr:sp macro="" textlink="">
      <xdr:nvSpPr>
        <xdr:cNvPr id="322" name="TextBox 321">
          <a:extLst>
            <a:ext uri="{FF2B5EF4-FFF2-40B4-BE49-F238E27FC236}">
              <a16:creationId xmlns:a16="http://schemas.microsoft.com/office/drawing/2014/main" id="{00000000-0008-0000-0100-000042010000}"/>
            </a:ext>
          </a:extLst>
        </xdr:cNvPr>
        <xdr:cNvSpPr txBox="1"/>
      </xdr:nvSpPr>
      <xdr:spPr>
        <a:xfrm>
          <a:off x="4933950" y="108933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57</xdr:row>
      <xdr:rowOff>53915</xdr:rowOff>
    </xdr:from>
    <xdr:ext cx="184731" cy="264560"/>
    <xdr:sp macro="" textlink="">
      <xdr:nvSpPr>
        <xdr:cNvPr id="323" name="TextBox 322">
          <a:extLst>
            <a:ext uri="{FF2B5EF4-FFF2-40B4-BE49-F238E27FC236}">
              <a16:creationId xmlns:a16="http://schemas.microsoft.com/office/drawing/2014/main" id="{00000000-0008-0000-0100-000043010000}"/>
            </a:ext>
          </a:extLst>
        </xdr:cNvPr>
        <xdr:cNvSpPr txBox="1"/>
      </xdr:nvSpPr>
      <xdr:spPr>
        <a:xfrm>
          <a:off x="4933950" y="108933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57</xdr:row>
      <xdr:rowOff>53915</xdr:rowOff>
    </xdr:from>
    <xdr:ext cx="184731" cy="264560"/>
    <xdr:sp macro="" textlink="">
      <xdr:nvSpPr>
        <xdr:cNvPr id="324" name="TextBox 323">
          <a:extLst>
            <a:ext uri="{FF2B5EF4-FFF2-40B4-BE49-F238E27FC236}">
              <a16:creationId xmlns:a16="http://schemas.microsoft.com/office/drawing/2014/main" id="{00000000-0008-0000-0100-000044010000}"/>
            </a:ext>
          </a:extLst>
        </xdr:cNvPr>
        <xdr:cNvSpPr txBox="1"/>
      </xdr:nvSpPr>
      <xdr:spPr>
        <a:xfrm>
          <a:off x="4933950" y="108933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57</xdr:row>
      <xdr:rowOff>0</xdr:rowOff>
    </xdr:from>
    <xdr:ext cx="184731" cy="264560"/>
    <xdr:sp macro="" textlink="">
      <xdr:nvSpPr>
        <xdr:cNvPr id="325" name="TextBox 324">
          <a:extLst>
            <a:ext uri="{FF2B5EF4-FFF2-40B4-BE49-F238E27FC236}">
              <a16:creationId xmlns:a16="http://schemas.microsoft.com/office/drawing/2014/main" id="{00000000-0008-0000-0100-000045010000}"/>
            </a:ext>
          </a:extLst>
        </xdr:cNvPr>
        <xdr:cNvSpPr txBox="1"/>
      </xdr:nvSpPr>
      <xdr:spPr>
        <a:xfrm>
          <a:off x="4933950" y="1083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57</xdr:row>
      <xdr:rowOff>53915</xdr:rowOff>
    </xdr:from>
    <xdr:ext cx="184731" cy="264560"/>
    <xdr:sp macro="" textlink="">
      <xdr:nvSpPr>
        <xdr:cNvPr id="326" name="TextBox 325">
          <a:extLst>
            <a:ext uri="{FF2B5EF4-FFF2-40B4-BE49-F238E27FC236}">
              <a16:creationId xmlns:a16="http://schemas.microsoft.com/office/drawing/2014/main" id="{00000000-0008-0000-0100-000046010000}"/>
            </a:ext>
          </a:extLst>
        </xdr:cNvPr>
        <xdr:cNvSpPr txBox="1"/>
      </xdr:nvSpPr>
      <xdr:spPr>
        <a:xfrm>
          <a:off x="4933950" y="108933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58</xdr:row>
      <xdr:rowOff>53915</xdr:rowOff>
    </xdr:from>
    <xdr:ext cx="184731" cy="264560"/>
    <xdr:sp macro="" textlink="">
      <xdr:nvSpPr>
        <xdr:cNvPr id="327" name="TextBox 326">
          <a:extLst>
            <a:ext uri="{FF2B5EF4-FFF2-40B4-BE49-F238E27FC236}">
              <a16:creationId xmlns:a16="http://schemas.microsoft.com/office/drawing/2014/main" id="{00000000-0008-0000-0100-000047010000}"/>
            </a:ext>
          </a:extLst>
        </xdr:cNvPr>
        <xdr:cNvSpPr txBox="1"/>
      </xdr:nvSpPr>
      <xdr:spPr>
        <a:xfrm>
          <a:off x="4933950" y="110933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58</xdr:row>
      <xdr:rowOff>53915</xdr:rowOff>
    </xdr:from>
    <xdr:ext cx="184731" cy="264560"/>
    <xdr:sp macro="" textlink="">
      <xdr:nvSpPr>
        <xdr:cNvPr id="328" name="TextBox 327">
          <a:extLst>
            <a:ext uri="{FF2B5EF4-FFF2-40B4-BE49-F238E27FC236}">
              <a16:creationId xmlns:a16="http://schemas.microsoft.com/office/drawing/2014/main" id="{00000000-0008-0000-0100-000048010000}"/>
            </a:ext>
          </a:extLst>
        </xdr:cNvPr>
        <xdr:cNvSpPr txBox="1"/>
      </xdr:nvSpPr>
      <xdr:spPr>
        <a:xfrm>
          <a:off x="4933950" y="110933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58</xdr:row>
      <xdr:rowOff>53915</xdr:rowOff>
    </xdr:from>
    <xdr:ext cx="184731" cy="264560"/>
    <xdr:sp macro="" textlink="">
      <xdr:nvSpPr>
        <xdr:cNvPr id="329" name="TextBox 328">
          <a:extLst>
            <a:ext uri="{FF2B5EF4-FFF2-40B4-BE49-F238E27FC236}">
              <a16:creationId xmlns:a16="http://schemas.microsoft.com/office/drawing/2014/main" id="{00000000-0008-0000-0100-000049010000}"/>
            </a:ext>
          </a:extLst>
        </xdr:cNvPr>
        <xdr:cNvSpPr txBox="1"/>
      </xdr:nvSpPr>
      <xdr:spPr>
        <a:xfrm>
          <a:off x="4933950" y="110933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58</xdr:row>
      <xdr:rowOff>0</xdr:rowOff>
    </xdr:from>
    <xdr:ext cx="184731" cy="264560"/>
    <xdr:sp macro="" textlink="">
      <xdr:nvSpPr>
        <xdr:cNvPr id="330" name="TextBox 329">
          <a:extLst>
            <a:ext uri="{FF2B5EF4-FFF2-40B4-BE49-F238E27FC236}">
              <a16:creationId xmlns:a16="http://schemas.microsoft.com/office/drawing/2014/main" id="{00000000-0008-0000-0100-00004A010000}"/>
            </a:ext>
          </a:extLst>
        </xdr:cNvPr>
        <xdr:cNvSpPr txBox="1"/>
      </xdr:nvSpPr>
      <xdr:spPr>
        <a:xfrm>
          <a:off x="4933950" y="11039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58</xdr:row>
      <xdr:rowOff>53915</xdr:rowOff>
    </xdr:from>
    <xdr:ext cx="184731" cy="264560"/>
    <xdr:sp macro="" textlink="">
      <xdr:nvSpPr>
        <xdr:cNvPr id="331" name="TextBox 330">
          <a:extLst>
            <a:ext uri="{FF2B5EF4-FFF2-40B4-BE49-F238E27FC236}">
              <a16:creationId xmlns:a16="http://schemas.microsoft.com/office/drawing/2014/main" id="{00000000-0008-0000-0100-00004B010000}"/>
            </a:ext>
          </a:extLst>
        </xdr:cNvPr>
        <xdr:cNvSpPr txBox="1"/>
      </xdr:nvSpPr>
      <xdr:spPr>
        <a:xfrm>
          <a:off x="4933950" y="110933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57</xdr:row>
      <xdr:rowOff>53915</xdr:rowOff>
    </xdr:from>
    <xdr:ext cx="184731" cy="264560"/>
    <xdr:sp macro="" textlink="">
      <xdr:nvSpPr>
        <xdr:cNvPr id="332" name="TextBox 331">
          <a:extLst>
            <a:ext uri="{FF2B5EF4-FFF2-40B4-BE49-F238E27FC236}">
              <a16:creationId xmlns:a16="http://schemas.microsoft.com/office/drawing/2014/main" id="{00000000-0008-0000-0100-00004C010000}"/>
            </a:ext>
          </a:extLst>
        </xdr:cNvPr>
        <xdr:cNvSpPr txBox="1"/>
      </xdr:nvSpPr>
      <xdr:spPr>
        <a:xfrm>
          <a:off x="4933950" y="108933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57</xdr:row>
      <xdr:rowOff>53915</xdr:rowOff>
    </xdr:from>
    <xdr:ext cx="184731" cy="264560"/>
    <xdr:sp macro="" textlink="">
      <xdr:nvSpPr>
        <xdr:cNvPr id="333" name="TextBox 332">
          <a:extLst>
            <a:ext uri="{FF2B5EF4-FFF2-40B4-BE49-F238E27FC236}">
              <a16:creationId xmlns:a16="http://schemas.microsoft.com/office/drawing/2014/main" id="{00000000-0008-0000-0100-00004D010000}"/>
            </a:ext>
          </a:extLst>
        </xdr:cNvPr>
        <xdr:cNvSpPr txBox="1"/>
      </xdr:nvSpPr>
      <xdr:spPr>
        <a:xfrm>
          <a:off x="4933950" y="108933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57</xdr:row>
      <xdr:rowOff>53915</xdr:rowOff>
    </xdr:from>
    <xdr:ext cx="184731" cy="264560"/>
    <xdr:sp macro="" textlink="">
      <xdr:nvSpPr>
        <xdr:cNvPr id="334" name="TextBox 333">
          <a:extLst>
            <a:ext uri="{FF2B5EF4-FFF2-40B4-BE49-F238E27FC236}">
              <a16:creationId xmlns:a16="http://schemas.microsoft.com/office/drawing/2014/main" id="{00000000-0008-0000-0100-00004E010000}"/>
            </a:ext>
          </a:extLst>
        </xdr:cNvPr>
        <xdr:cNvSpPr txBox="1"/>
      </xdr:nvSpPr>
      <xdr:spPr>
        <a:xfrm>
          <a:off x="4933950" y="108933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57</xdr:row>
      <xdr:rowOff>0</xdr:rowOff>
    </xdr:from>
    <xdr:ext cx="184731" cy="264560"/>
    <xdr:sp macro="" textlink="">
      <xdr:nvSpPr>
        <xdr:cNvPr id="335" name="TextBox 334">
          <a:extLst>
            <a:ext uri="{FF2B5EF4-FFF2-40B4-BE49-F238E27FC236}">
              <a16:creationId xmlns:a16="http://schemas.microsoft.com/office/drawing/2014/main" id="{00000000-0008-0000-0100-00004F010000}"/>
            </a:ext>
          </a:extLst>
        </xdr:cNvPr>
        <xdr:cNvSpPr txBox="1"/>
      </xdr:nvSpPr>
      <xdr:spPr>
        <a:xfrm>
          <a:off x="4933950" y="1083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57</xdr:row>
      <xdr:rowOff>53915</xdr:rowOff>
    </xdr:from>
    <xdr:ext cx="184731" cy="264560"/>
    <xdr:sp macro="" textlink="">
      <xdr:nvSpPr>
        <xdr:cNvPr id="336" name="TextBox 335">
          <a:extLst>
            <a:ext uri="{FF2B5EF4-FFF2-40B4-BE49-F238E27FC236}">
              <a16:creationId xmlns:a16="http://schemas.microsoft.com/office/drawing/2014/main" id="{00000000-0008-0000-0100-000050010000}"/>
            </a:ext>
          </a:extLst>
        </xdr:cNvPr>
        <xdr:cNvSpPr txBox="1"/>
      </xdr:nvSpPr>
      <xdr:spPr>
        <a:xfrm>
          <a:off x="4933950" y="108933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58</xdr:row>
      <xdr:rowOff>53915</xdr:rowOff>
    </xdr:from>
    <xdr:ext cx="184731" cy="264560"/>
    <xdr:sp macro="" textlink="">
      <xdr:nvSpPr>
        <xdr:cNvPr id="337" name="TextBox 336">
          <a:extLst>
            <a:ext uri="{FF2B5EF4-FFF2-40B4-BE49-F238E27FC236}">
              <a16:creationId xmlns:a16="http://schemas.microsoft.com/office/drawing/2014/main" id="{00000000-0008-0000-0100-000051010000}"/>
            </a:ext>
          </a:extLst>
        </xdr:cNvPr>
        <xdr:cNvSpPr txBox="1"/>
      </xdr:nvSpPr>
      <xdr:spPr>
        <a:xfrm>
          <a:off x="4933950" y="110933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58</xdr:row>
      <xdr:rowOff>53915</xdr:rowOff>
    </xdr:from>
    <xdr:ext cx="184731" cy="264560"/>
    <xdr:sp macro="" textlink="">
      <xdr:nvSpPr>
        <xdr:cNvPr id="338" name="TextBox 337">
          <a:extLst>
            <a:ext uri="{FF2B5EF4-FFF2-40B4-BE49-F238E27FC236}">
              <a16:creationId xmlns:a16="http://schemas.microsoft.com/office/drawing/2014/main" id="{00000000-0008-0000-0100-000052010000}"/>
            </a:ext>
          </a:extLst>
        </xdr:cNvPr>
        <xdr:cNvSpPr txBox="1"/>
      </xdr:nvSpPr>
      <xdr:spPr>
        <a:xfrm>
          <a:off x="4933950" y="110933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58</xdr:row>
      <xdr:rowOff>53915</xdr:rowOff>
    </xdr:from>
    <xdr:ext cx="184731" cy="264560"/>
    <xdr:sp macro="" textlink="">
      <xdr:nvSpPr>
        <xdr:cNvPr id="339" name="TextBox 338">
          <a:extLst>
            <a:ext uri="{FF2B5EF4-FFF2-40B4-BE49-F238E27FC236}">
              <a16:creationId xmlns:a16="http://schemas.microsoft.com/office/drawing/2014/main" id="{00000000-0008-0000-0100-000053010000}"/>
            </a:ext>
          </a:extLst>
        </xdr:cNvPr>
        <xdr:cNvSpPr txBox="1"/>
      </xdr:nvSpPr>
      <xdr:spPr>
        <a:xfrm>
          <a:off x="4933950" y="110933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58</xdr:row>
      <xdr:rowOff>0</xdr:rowOff>
    </xdr:from>
    <xdr:ext cx="184731" cy="264560"/>
    <xdr:sp macro="" textlink="">
      <xdr:nvSpPr>
        <xdr:cNvPr id="340" name="TextBox 339">
          <a:extLst>
            <a:ext uri="{FF2B5EF4-FFF2-40B4-BE49-F238E27FC236}">
              <a16:creationId xmlns:a16="http://schemas.microsoft.com/office/drawing/2014/main" id="{00000000-0008-0000-0100-000054010000}"/>
            </a:ext>
          </a:extLst>
        </xdr:cNvPr>
        <xdr:cNvSpPr txBox="1"/>
      </xdr:nvSpPr>
      <xdr:spPr>
        <a:xfrm>
          <a:off x="4933950" y="11039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58</xdr:row>
      <xdr:rowOff>53915</xdr:rowOff>
    </xdr:from>
    <xdr:ext cx="184731" cy="264560"/>
    <xdr:sp macro="" textlink="">
      <xdr:nvSpPr>
        <xdr:cNvPr id="341" name="TextBox 340">
          <a:extLst>
            <a:ext uri="{FF2B5EF4-FFF2-40B4-BE49-F238E27FC236}">
              <a16:creationId xmlns:a16="http://schemas.microsoft.com/office/drawing/2014/main" id="{00000000-0008-0000-0100-000055010000}"/>
            </a:ext>
          </a:extLst>
        </xdr:cNvPr>
        <xdr:cNvSpPr txBox="1"/>
      </xdr:nvSpPr>
      <xdr:spPr>
        <a:xfrm>
          <a:off x="4933950" y="110933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64</xdr:row>
      <xdr:rowOff>53915</xdr:rowOff>
    </xdr:from>
    <xdr:ext cx="184731" cy="264560"/>
    <xdr:sp macro="" textlink="">
      <xdr:nvSpPr>
        <xdr:cNvPr id="342" name="TextBox 341">
          <a:extLst>
            <a:ext uri="{FF2B5EF4-FFF2-40B4-BE49-F238E27FC236}">
              <a16:creationId xmlns:a16="http://schemas.microsoft.com/office/drawing/2014/main" id="{00000000-0008-0000-0100-000056010000}"/>
            </a:ext>
          </a:extLst>
        </xdr:cNvPr>
        <xdr:cNvSpPr txBox="1"/>
      </xdr:nvSpPr>
      <xdr:spPr>
        <a:xfrm>
          <a:off x="4933950" y="12293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64</xdr:row>
      <xdr:rowOff>53915</xdr:rowOff>
    </xdr:from>
    <xdr:ext cx="184731" cy="264560"/>
    <xdr:sp macro="" textlink="">
      <xdr:nvSpPr>
        <xdr:cNvPr id="343" name="TextBox 342">
          <a:extLst>
            <a:ext uri="{FF2B5EF4-FFF2-40B4-BE49-F238E27FC236}">
              <a16:creationId xmlns:a16="http://schemas.microsoft.com/office/drawing/2014/main" id="{00000000-0008-0000-0100-000057010000}"/>
            </a:ext>
          </a:extLst>
        </xdr:cNvPr>
        <xdr:cNvSpPr txBox="1"/>
      </xdr:nvSpPr>
      <xdr:spPr>
        <a:xfrm>
          <a:off x="4933950" y="12293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64</xdr:row>
      <xdr:rowOff>53915</xdr:rowOff>
    </xdr:from>
    <xdr:ext cx="184731" cy="264560"/>
    <xdr:sp macro="" textlink="">
      <xdr:nvSpPr>
        <xdr:cNvPr id="344" name="TextBox 343">
          <a:extLst>
            <a:ext uri="{FF2B5EF4-FFF2-40B4-BE49-F238E27FC236}">
              <a16:creationId xmlns:a16="http://schemas.microsoft.com/office/drawing/2014/main" id="{00000000-0008-0000-0100-000058010000}"/>
            </a:ext>
          </a:extLst>
        </xdr:cNvPr>
        <xdr:cNvSpPr txBox="1"/>
      </xdr:nvSpPr>
      <xdr:spPr>
        <a:xfrm>
          <a:off x="4933950" y="12293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64</xdr:row>
      <xdr:rowOff>0</xdr:rowOff>
    </xdr:from>
    <xdr:ext cx="184731" cy="264560"/>
    <xdr:sp macro="" textlink="">
      <xdr:nvSpPr>
        <xdr:cNvPr id="345" name="TextBox 344">
          <a:extLst>
            <a:ext uri="{FF2B5EF4-FFF2-40B4-BE49-F238E27FC236}">
              <a16:creationId xmlns:a16="http://schemas.microsoft.com/office/drawing/2014/main" id="{00000000-0008-0000-0100-000059010000}"/>
            </a:ext>
          </a:extLst>
        </xdr:cNvPr>
        <xdr:cNvSpPr txBox="1"/>
      </xdr:nvSpPr>
      <xdr:spPr>
        <a:xfrm>
          <a:off x="4933950" y="12239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64</xdr:row>
      <xdr:rowOff>53915</xdr:rowOff>
    </xdr:from>
    <xdr:ext cx="184731" cy="264560"/>
    <xdr:sp macro="" textlink="">
      <xdr:nvSpPr>
        <xdr:cNvPr id="346" name="TextBox 345">
          <a:extLst>
            <a:ext uri="{FF2B5EF4-FFF2-40B4-BE49-F238E27FC236}">
              <a16:creationId xmlns:a16="http://schemas.microsoft.com/office/drawing/2014/main" id="{00000000-0008-0000-0100-00005A010000}"/>
            </a:ext>
          </a:extLst>
        </xdr:cNvPr>
        <xdr:cNvSpPr txBox="1"/>
      </xdr:nvSpPr>
      <xdr:spPr>
        <a:xfrm>
          <a:off x="4933950" y="12293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64</xdr:row>
      <xdr:rowOff>53915</xdr:rowOff>
    </xdr:from>
    <xdr:ext cx="184731" cy="264560"/>
    <xdr:sp macro="" textlink="">
      <xdr:nvSpPr>
        <xdr:cNvPr id="347" name="TextBox 346">
          <a:extLst>
            <a:ext uri="{FF2B5EF4-FFF2-40B4-BE49-F238E27FC236}">
              <a16:creationId xmlns:a16="http://schemas.microsoft.com/office/drawing/2014/main" id="{00000000-0008-0000-0100-00005B010000}"/>
            </a:ext>
          </a:extLst>
        </xdr:cNvPr>
        <xdr:cNvSpPr txBox="1"/>
      </xdr:nvSpPr>
      <xdr:spPr>
        <a:xfrm>
          <a:off x="4933950" y="12293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64</xdr:row>
      <xdr:rowOff>53915</xdr:rowOff>
    </xdr:from>
    <xdr:ext cx="184731" cy="264560"/>
    <xdr:sp macro="" textlink="">
      <xdr:nvSpPr>
        <xdr:cNvPr id="348" name="TextBox 347">
          <a:extLst>
            <a:ext uri="{FF2B5EF4-FFF2-40B4-BE49-F238E27FC236}">
              <a16:creationId xmlns:a16="http://schemas.microsoft.com/office/drawing/2014/main" id="{00000000-0008-0000-0100-00005C010000}"/>
            </a:ext>
          </a:extLst>
        </xdr:cNvPr>
        <xdr:cNvSpPr txBox="1"/>
      </xdr:nvSpPr>
      <xdr:spPr>
        <a:xfrm>
          <a:off x="4933950" y="12293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64</xdr:row>
      <xdr:rowOff>53915</xdr:rowOff>
    </xdr:from>
    <xdr:ext cx="184731" cy="264560"/>
    <xdr:sp macro="" textlink="">
      <xdr:nvSpPr>
        <xdr:cNvPr id="349" name="TextBox 348">
          <a:extLst>
            <a:ext uri="{FF2B5EF4-FFF2-40B4-BE49-F238E27FC236}">
              <a16:creationId xmlns:a16="http://schemas.microsoft.com/office/drawing/2014/main" id="{00000000-0008-0000-0100-00005D010000}"/>
            </a:ext>
          </a:extLst>
        </xdr:cNvPr>
        <xdr:cNvSpPr txBox="1"/>
      </xdr:nvSpPr>
      <xdr:spPr>
        <a:xfrm>
          <a:off x="4933950" y="12293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64</xdr:row>
      <xdr:rowOff>0</xdr:rowOff>
    </xdr:from>
    <xdr:ext cx="184731" cy="264560"/>
    <xdr:sp macro="" textlink="">
      <xdr:nvSpPr>
        <xdr:cNvPr id="350" name="TextBox 349">
          <a:extLst>
            <a:ext uri="{FF2B5EF4-FFF2-40B4-BE49-F238E27FC236}">
              <a16:creationId xmlns:a16="http://schemas.microsoft.com/office/drawing/2014/main" id="{00000000-0008-0000-0100-00005E010000}"/>
            </a:ext>
          </a:extLst>
        </xdr:cNvPr>
        <xdr:cNvSpPr txBox="1"/>
      </xdr:nvSpPr>
      <xdr:spPr>
        <a:xfrm>
          <a:off x="4933950" y="12239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64</xdr:row>
      <xdr:rowOff>53915</xdr:rowOff>
    </xdr:from>
    <xdr:ext cx="184731" cy="264560"/>
    <xdr:sp macro="" textlink="">
      <xdr:nvSpPr>
        <xdr:cNvPr id="351" name="TextBox 350">
          <a:extLst>
            <a:ext uri="{FF2B5EF4-FFF2-40B4-BE49-F238E27FC236}">
              <a16:creationId xmlns:a16="http://schemas.microsoft.com/office/drawing/2014/main" id="{00000000-0008-0000-0100-00005F010000}"/>
            </a:ext>
          </a:extLst>
        </xdr:cNvPr>
        <xdr:cNvSpPr txBox="1"/>
      </xdr:nvSpPr>
      <xdr:spPr>
        <a:xfrm>
          <a:off x="4933950" y="12293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64</xdr:row>
      <xdr:rowOff>53915</xdr:rowOff>
    </xdr:from>
    <xdr:ext cx="184731" cy="264560"/>
    <xdr:sp macro="" textlink="">
      <xdr:nvSpPr>
        <xdr:cNvPr id="352" name="TextBox 351">
          <a:extLst>
            <a:ext uri="{FF2B5EF4-FFF2-40B4-BE49-F238E27FC236}">
              <a16:creationId xmlns:a16="http://schemas.microsoft.com/office/drawing/2014/main" id="{00000000-0008-0000-0100-000060010000}"/>
            </a:ext>
          </a:extLst>
        </xdr:cNvPr>
        <xdr:cNvSpPr txBox="1"/>
      </xdr:nvSpPr>
      <xdr:spPr>
        <a:xfrm>
          <a:off x="4933950" y="12293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64</xdr:row>
      <xdr:rowOff>53915</xdr:rowOff>
    </xdr:from>
    <xdr:ext cx="184731" cy="264560"/>
    <xdr:sp macro="" textlink="">
      <xdr:nvSpPr>
        <xdr:cNvPr id="353" name="TextBox 352">
          <a:extLst>
            <a:ext uri="{FF2B5EF4-FFF2-40B4-BE49-F238E27FC236}">
              <a16:creationId xmlns:a16="http://schemas.microsoft.com/office/drawing/2014/main" id="{00000000-0008-0000-0100-000061010000}"/>
            </a:ext>
          </a:extLst>
        </xdr:cNvPr>
        <xdr:cNvSpPr txBox="1"/>
      </xdr:nvSpPr>
      <xdr:spPr>
        <a:xfrm>
          <a:off x="4933950" y="12293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64</xdr:row>
      <xdr:rowOff>53915</xdr:rowOff>
    </xdr:from>
    <xdr:ext cx="184731" cy="264560"/>
    <xdr:sp macro="" textlink="">
      <xdr:nvSpPr>
        <xdr:cNvPr id="354" name="TextBox 353">
          <a:extLst>
            <a:ext uri="{FF2B5EF4-FFF2-40B4-BE49-F238E27FC236}">
              <a16:creationId xmlns:a16="http://schemas.microsoft.com/office/drawing/2014/main" id="{00000000-0008-0000-0100-000062010000}"/>
            </a:ext>
          </a:extLst>
        </xdr:cNvPr>
        <xdr:cNvSpPr txBox="1"/>
      </xdr:nvSpPr>
      <xdr:spPr>
        <a:xfrm>
          <a:off x="4933950" y="12293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64</xdr:row>
      <xdr:rowOff>0</xdr:rowOff>
    </xdr:from>
    <xdr:ext cx="184731" cy="264560"/>
    <xdr:sp macro="" textlink="">
      <xdr:nvSpPr>
        <xdr:cNvPr id="355" name="TextBox 354">
          <a:extLst>
            <a:ext uri="{FF2B5EF4-FFF2-40B4-BE49-F238E27FC236}">
              <a16:creationId xmlns:a16="http://schemas.microsoft.com/office/drawing/2014/main" id="{00000000-0008-0000-0100-000063010000}"/>
            </a:ext>
          </a:extLst>
        </xdr:cNvPr>
        <xdr:cNvSpPr txBox="1"/>
      </xdr:nvSpPr>
      <xdr:spPr>
        <a:xfrm>
          <a:off x="4933950" y="12239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64</xdr:row>
      <xdr:rowOff>53915</xdr:rowOff>
    </xdr:from>
    <xdr:ext cx="184731" cy="264560"/>
    <xdr:sp macro="" textlink="">
      <xdr:nvSpPr>
        <xdr:cNvPr id="356" name="TextBox 355">
          <a:extLst>
            <a:ext uri="{FF2B5EF4-FFF2-40B4-BE49-F238E27FC236}">
              <a16:creationId xmlns:a16="http://schemas.microsoft.com/office/drawing/2014/main" id="{00000000-0008-0000-0100-000064010000}"/>
            </a:ext>
          </a:extLst>
        </xdr:cNvPr>
        <xdr:cNvSpPr txBox="1"/>
      </xdr:nvSpPr>
      <xdr:spPr>
        <a:xfrm>
          <a:off x="4933950" y="12293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357" name="TextBox 356">
          <a:extLst>
            <a:ext uri="{FF2B5EF4-FFF2-40B4-BE49-F238E27FC236}">
              <a16:creationId xmlns:a16="http://schemas.microsoft.com/office/drawing/2014/main" id="{00000000-0008-0000-0100-000065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358" name="TextBox 357">
          <a:extLst>
            <a:ext uri="{FF2B5EF4-FFF2-40B4-BE49-F238E27FC236}">
              <a16:creationId xmlns:a16="http://schemas.microsoft.com/office/drawing/2014/main" id="{00000000-0008-0000-0100-000066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359" name="TextBox 358">
          <a:extLst>
            <a:ext uri="{FF2B5EF4-FFF2-40B4-BE49-F238E27FC236}">
              <a16:creationId xmlns:a16="http://schemas.microsoft.com/office/drawing/2014/main" id="{00000000-0008-0000-0100-000067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360" name="TextBox 359">
          <a:extLst>
            <a:ext uri="{FF2B5EF4-FFF2-40B4-BE49-F238E27FC236}">
              <a16:creationId xmlns:a16="http://schemas.microsoft.com/office/drawing/2014/main" id="{00000000-0008-0000-0100-000068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361" name="TextBox 360">
          <a:extLst>
            <a:ext uri="{FF2B5EF4-FFF2-40B4-BE49-F238E27FC236}">
              <a16:creationId xmlns:a16="http://schemas.microsoft.com/office/drawing/2014/main" id="{00000000-0008-0000-0100-000069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64</xdr:row>
      <xdr:rowOff>53915</xdr:rowOff>
    </xdr:from>
    <xdr:ext cx="184731" cy="264560"/>
    <xdr:sp macro="" textlink="">
      <xdr:nvSpPr>
        <xdr:cNvPr id="362" name="TextBox 361">
          <a:extLst>
            <a:ext uri="{FF2B5EF4-FFF2-40B4-BE49-F238E27FC236}">
              <a16:creationId xmlns:a16="http://schemas.microsoft.com/office/drawing/2014/main" id="{00000000-0008-0000-0100-00006A010000}"/>
            </a:ext>
          </a:extLst>
        </xdr:cNvPr>
        <xdr:cNvSpPr txBox="1"/>
      </xdr:nvSpPr>
      <xdr:spPr>
        <a:xfrm>
          <a:off x="4933950" y="12293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64</xdr:row>
      <xdr:rowOff>53915</xdr:rowOff>
    </xdr:from>
    <xdr:ext cx="184731" cy="264560"/>
    <xdr:sp macro="" textlink="">
      <xdr:nvSpPr>
        <xdr:cNvPr id="363" name="TextBox 362">
          <a:extLst>
            <a:ext uri="{FF2B5EF4-FFF2-40B4-BE49-F238E27FC236}">
              <a16:creationId xmlns:a16="http://schemas.microsoft.com/office/drawing/2014/main" id="{00000000-0008-0000-0100-00006B010000}"/>
            </a:ext>
          </a:extLst>
        </xdr:cNvPr>
        <xdr:cNvSpPr txBox="1"/>
      </xdr:nvSpPr>
      <xdr:spPr>
        <a:xfrm>
          <a:off x="4933950" y="12293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64</xdr:row>
      <xdr:rowOff>53915</xdr:rowOff>
    </xdr:from>
    <xdr:ext cx="184731" cy="264560"/>
    <xdr:sp macro="" textlink="">
      <xdr:nvSpPr>
        <xdr:cNvPr id="364" name="TextBox 363">
          <a:extLst>
            <a:ext uri="{FF2B5EF4-FFF2-40B4-BE49-F238E27FC236}">
              <a16:creationId xmlns:a16="http://schemas.microsoft.com/office/drawing/2014/main" id="{00000000-0008-0000-0100-00006C010000}"/>
            </a:ext>
          </a:extLst>
        </xdr:cNvPr>
        <xdr:cNvSpPr txBox="1"/>
      </xdr:nvSpPr>
      <xdr:spPr>
        <a:xfrm>
          <a:off x="4933950" y="12293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64</xdr:row>
      <xdr:rowOff>0</xdr:rowOff>
    </xdr:from>
    <xdr:ext cx="184731" cy="264560"/>
    <xdr:sp macro="" textlink="">
      <xdr:nvSpPr>
        <xdr:cNvPr id="365" name="TextBox 364">
          <a:extLst>
            <a:ext uri="{FF2B5EF4-FFF2-40B4-BE49-F238E27FC236}">
              <a16:creationId xmlns:a16="http://schemas.microsoft.com/office/drawing/2014/main" id="{00000000-0008-0000-0100-00006D010000}"/>
            </a:ext>
          </a:extLst>
        </xdr:cNvPr>
        <xdr:cNvSpPr txBox="1"/>
      </xdr:nvSpPr>
      <xdr:spPr>
        <a:xfrm>
          <a:off x="4933950" y="12239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64</xdr:row>
      <xdr:rowOff>53915</xdr:rowOff>
    </xdr:from>
    <xdr:ext cx="184731" cy="264560"/>
    <xdr:sp macro="" textlink="">
      <xdr:nvSpPr>
        <xdr:cNvPr id="366" name="TextBox 365">
          <a:extLst>
            <a:ext uri="{FF2B5EF4-FFF2-40B4-BE49-F238E27FC236}">
              <a16:creationId xmlns:a16="http://schemas.microsoft.com/office/drawing/2014/main" id="{00000000-0008-0000-0100-00006E010000}"/>
            </a:ext>
          </a:extLst>
        </xdr:cNvPr>
        <xdr:cNvSpPr txBox="1"/>
      </xdr:nvSpPr>
      <xdr:spPr>
        <a:xfrm>
          <a:off x="4933950" y="12293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367" name="TextBox 366">
          <a:extLst>
            <a:ext uri="{FF2B5EF4-FFF2-40B4-BE49-F238E27FC236}">
              <a16:creationId xmlns:a16="http://schemas.microsoft.com/office/drawing/2014/main" id="{00000000-0008-0000-0100-00006F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368" name="TextBox 367">
          <a:extLst>
            <a:ext uri="{FF2B5EF4-FFF2-40B4-BE49-F238E27FC236}">
              <a16:creationId xmlns:a16="http://schemas.microsoft.com/office/drawing/2014/main" id="{00000000-0008-0000-0100-000070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369" name="TextBox 368">
          <a:extLst>
            <a:ext uri="{FF2B5EF4-FFF2-40B4-BE49-F238E27FC236}">
              <a16:creationId xmlns:a16="http://schemas.microsoft.com/office/drawing/2014/main" id="{00000000-0008-0000-0100-000071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370" name="TextBox 369">
          <a:extLst>
            <a:ext uri="{FF2B5EF4-FFF2-40B4-BE49-F238E27FC236}">
              <a16:creationId xmlns:a16="http://schemas.microsoft.com/office/drawing/2014/main" id="{00000000-0008-0000-0100-000072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371" name="TextBox 370">
          <a:extLst>
            <a:ext uri="{FF2B5EF4-FFF2-40B4-BE49-F238E27FC236}">
              <a16:creationId xmlns:a16="http://schemas.microsoft.com/office/drawing/2014/main" id="{00000000-0008-0000-0100-000073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64</xdr:row>
      <xdr:rowOff>53915</xdr:rowOff>
    </xdr:from>
    <xdr:ext cx="184731" cy="264560"/>
    <xdr:sp macro="" textlink="">
      <xdr:nvSpPr>
        <xdr:cNvPr id="372" name="TextBox 371">
          <a:extLst>
            <a:ext uri="{FF2B5EF4-FFF2-40B4-BE49-F238E27FC236}">
              <a16:creationId xmlns:a16="http://schemas.microsoft.com/office/drawing/2014/main" id="{00000000-0008-0000-0100-000074010000}"/>
            </a:ext>
          </a:extLst>
        </xdr:cNvPr>
        <xdr:cNvSpPr txBox="1"/>
      </xdr:nvSpPr>
      <xdr:spPr>
        <a:xfrm>
          <a:off x="4933950" y="12293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64</xdr:row>
      <xdr:rowOff>53915</xdr:rowOff>
    </xdr:from>
    <xdr:ext cx="184731" cy="264560"/>
    <xdr:sp macro="" textlink="">
      <xdr:nvSpPr>
        <xdr:cNvPr id="373" name="TextBox 372">
          <a:extLst>
            <a:ext uri="{FF2B5EF4-FFF2-40B4-BE49-F238E27FC236}">
              <a16:creationId xmlns:a16="http://schemas.microsoft.com/office/drawing/2014/main" id="{00000000-0008-0000-0100-000075010000}"/>
            </a:ext>
          </a:extLst>
        </xdr:cNvPr>
        <xdr:cNvSpPr txBox="1"/>
      </xdr:nvSpPr>
      <xdr:spPr>
        <a:xfrm>
          <a:off x="4933950" y="12293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64</xdr:row>
      <xdr:rowOff>53915</xdr:rowOff>
    </xdr:from>
    <xdr:ext cx="184731" cy="264560"/>
    <xdr:sp macro="" textlink="">
      <xdr:nvSpPr>
        <xdr:cNvPr id="374" name="TextBox 373">
          <a:extLst>
            <a:ext uri="{FF2B5EF4-FFF2-40B4-BE49-F238E27FC236}">
              <a16:creationId xmlns:a16="http://schemas.microsoft.com/office/drawing/2014/main" id="{00000000-0008-0000-0100-000076010000}"/>
            </a:ext>
          </a:extLst>
        </xdr:cNvPr>
        <xdr:cNvSpPr txBox="1"/>
      </xdr:nvSpPr>
      <xdr:spPr>
        <a:xfrm>
          <a:off x="4933950" y="12293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64</xdr:row>
      <xdr:rowOff>0</xdr:rowOff>
    </xdr:from>
    <xdr:ext cx="184731" cy="264560"/>
    <xdr:sp macro="" textlink="">
      <xdr:nvSpPr>
        <xdr:cNvPr id="375" name="TextBox 374">
          <a:extLst>
            <a:ext uri="{FF2B5EF4-FFF2-40B4-BE49-F238E27FC236}">
              <a16:creationId xmlns:a16="http://schemas.microsoft.com/office/drawing/2014/main" id="{00000000-0008-0000-0100-000077010000}"/>
            </a:ext>
          </a:extLst>
        </xdr:cNvPr>
        <xdr:cNvSpPr txBox="1"/>
      </xdr:nvSpPr>
      <xdr:spPr>
        <a:xfrm>
          <a:off x="4933950" y="12239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64</xdr:row>
      <xdr:rowOff>53915</xdr:rowOff>
    </xdr:from>
    <xdr:ext cx="184731" cy="264560"/>
    <xdr:sp macro="" textlink="">
      <xdr:nvSpPr>
        <xdr:cNvPr id="376" name="TextBox 375">
          <a:extLst>
            <a:ext uri="{FF2B5EF4-FFF2-40B4-BE49-F238E27FC236}">
              <a16:creationId xmlns:a16="http://schemas.microsoft.com/office/drawing/2014/main" id="{00000000-0008-0000-0100-000078010000}"/>
            </a:ext>
          </a:extLst>
        </xdr:cNvPr>
        <xdr:cNvSpPr txBox="1"/>
      </xdr:nvSpPr>
      <xdr:spPr>
        <a:xfrm>
          <a:off x="4933950" y="12293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377" name="TextBox 376">
          <a:extLst>
            <a:ext uri="{FF2B5EF4-FFF2-40B4-BE49-F238E27FC236}">
              <a16:creationId xmlns:a16="http://schemas.microsoft.com/office/drawing/2014/main" id="{00000000-0008-0000-0100-000079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378" name="TextBox 377">
          <a:extLst>
            <a:ext uri="{FF2B5EF4-FFF2-40B4-BE49-F238E27FC236}">
              <a16:creationId xmlns:a16="http://schemas.microsoft.com/office/drawing/2014/main" id="{00000000-0008-0000-0100-00007A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379" name="TextBox 378">
          <a:extLst>
            <a:ext uri="{FF2B5EF4-FFF2-40B4-BE49-F238E27FC236}">
              <a16:creationId xmlns:a16="http://schemas.microsoft.com/office/drawing/2014/main" id="{00000000-0008-0000-0100-00007B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380" name="TextBox 379">
          <a:extLst>
            <a:ext uri="{FF2B5EF4-FFF2-40B4-BE49-F238E27FC236}">
              <a16:creationId xmlns:a16="http://schemas.microsoft.com/office/drawing/2014/main" id="{00000000-0008-0000-0100-00007C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381" name="TextBox 380">
          <a:extLst>
            <a:ext uri="{FF2B5EF4-FFF2-40B4-BE49-F238E27FC236}">
              <a16:creationId xmlns:a16="http://schemas.microsoft.com/office/drawing/2014/main" id="{00000000-0008-0000-0100-00007D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64</xdr:row>
      <xdr:rowOff>53915</xdr:rowOff>
    </xdr:from>
    <xdr:ext cx="184731" cy="264560"/>
    <xdr:sp macro="" textlink="">
      <xdr:nvSpPr>
        <xdr:cNvPr id="382" name="TextBox 381">
          <a:extLst>
            <a:ext uri="{FF2B5EF4-FFF2-40B4-BE49-F238E27FC236}">
              <a16:creationId xmlns:a16="http://schemas.microsoft.com/office/drawing/2014/main" id="{00000000-0008-0000-0100-00007E010000}"/>
            </a:ext>
          </a:extLst>
        </xdr:cNvPr>
        <xdr:cNvSpPr txBox="1"/>
      </xdr:nvSpPr>
      <xdr:spPr>
        <a:xfrm>
          <a:off x="4933950" y="12293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64</xdr:row>
      <xdr:rowOff>53915</xdr:rowOff>
    </xdr:from>
    <xdr:ext cx="184731" cy="264560"/>
    <xdr:sp macro="" textlink="">
      <xdr:nvSpPr>
        <xdr:cNvPr id="383" name="TextBox 382">
          <a:extLst>
            <a:ext uri="{FF2B5EF4-FFF2-40B4-BE49-F238E27FC236}">
              <a16:creationId xmlns:a16="http://schemas.microsoft.com/office/drawing/2014/main" id="{00000000-0008-0000-0100-00007F010000}"/>
            </a:ext>
          </a:extLst>
        </xdr:cNvPr>
        <xdr:cNvSpPr txBox="1"/>
      </xdr:nvSpPr>
      <xdr:spPr>
        <a:xfrm>
          <a:off x="4933950" y="12293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64</xdr:row>
      <xdr:rowOff>53915</xdr:rowOff>
    </xdr:from>
    <xdr:ext cx="184731" cy="264560"/>
    <xdr:sp macro="" textlink="">
      <xdr:nvSpPr>
        <xdr:cNvPr id="384" name="TextBox 383">
          <a:extLst>
            <a:ext uri="{FF2B5EF4-FFF2-40B4-BE49-F238E27FC236}">
              <a16:creationId xmlns:a16="http://schemas.microsoft.com/office/drawing/2014/main" id="{00000000-0008-0000-0100-000080010000}"/>
            </a:ext>
          </a:extLst>
        </xdr:cNvPr>
        <xdr:cNvSpPr txBox="1"/>
      </xdr:nvSpPr>
      <xdr:spPr>
        <a:xfrm>
          <a:off x="4933950" y="12293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64</xdr:row>
      <xdr:rowOff>0</xdr:rowOff>
    </xdr:from>
    <xdr:ext cx="184731" cy="264560"/>
    <xdr:sp macro="" textlink="">
      <xdr:nvSpPr>
        <xdr:cNvPr id="385" name="TextBox 384">
          <a:extLst>
            <a:ext uri="{FF2B5EF4-FFF2-40B4-BE49-F238E27FC236}">
              <a16:creationId xmlns:a16="http://schemas.microsoft.com/office/drawing/2014/main" id="{00000000-0008-0000-0100-000081010000}"/>
            </a:ext>
          </a:extLst>
        </xdr:cNvPr>
        <xdr:cNvSpPr txBox="1"/>
      </xdr:nvSpPr>
      <xdr:spPr>
        <a:xfrm>
          <a:off x="4933950" y="12239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64</xdr:row>
      <xdr:rowOff>53915</xdr:rowOff>
    </xdr:from>
    <xdr:ext cx="184731" cy="264560"/>
    <xdr:sp macro="" textlink="">
      <xdr:nvSpPr>
        <xdr:cNvPr id="386" name="TextBox 385">
          <a:extLst>
            <a:ext uri="{FF2B5EF4-FFF2-40B4-BE49-F238E27FC236}">
              <a16:creationId xmlns:a16="http://schemas.microsoft.com/office/drawing/2014/main" id="{00000000-0008-0000-0100-000082010000}"/>
            </a:ext>
          </a:extLst>
        </xdr:cNvPr>
        <xdr:cNvSpPr txBox="1"/>
      </xdr:nvSpPr>
      <xdr:spPr>
        <a:xfrm>
          <a:off x="4933950" y="12293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387" name="TextBox 386">
          <a:extLst>
            <a:ext uri="{FF2B5EF4-FFF2-40B4-BE49-F238E27FC236}">
              <a16:creationId xmlns:a16="http://schemas.microsoft.com/office/drawing/2014/main" id="{00000000-0008-0000-0100-000083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388" name="TextBox 387">
          <a:extLst>
            <a:ext uri="{FF2B5EF4-FFF2-40B4-BE49-F238E27FC236}">
              <a16:creationId xmlns:a16="http://schemas.microsoft.com/office/drawing/2014/main" id="{00000000-0008-0000-0100-000084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389" name="TextBox 388">
          <a:extLst>
            <a:ext uri="{FF2B5EF4-FFF2-40B4-BE49-F238E27FC236}">
              <a16:creationId xmlns:a16="http://schemas.microsoft.com/office/drawing/2014/main" id="{00000000-0008-0000-0100-000085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390" name="TextBox 389">
          <a:extLst>
            <a:ext uri="{FF2B5EF4-FFF2-40B4-BE49-F238E27FC236}">
              <a16:creationId xmlns:a16="http://schemas.microsoft.com/office/drawing/2014/main" id="{00000000-0008-0000-0100-000086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391" name="TextBox 390">
          <a:extLst>
            <a:ext uri="{FF2B5EF4-FFF2-40B4-BE49-F238E27FC236}">
              <a16:creationId xmlns:a16="http://schemas.microsoft.com/office/drawing/2014/main" id="{00000000-0008-0000-0100-000087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392" name="TextBox 391">
          <a:extLst>
            <a:ext uri="{FF2B5EF4-FFF2-40B4-BE49-F238E27FC236}">
              <a16:creationId xmlns:a16="http://schemas.microsoft.com/office/drawing/2014/main" id="{00000000-0008-0000-0100-000088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393" name="TextBox 392">
          <a:extLst>
            <a:ext uri="{FF2B5EF4-FFF2-40B4-BE49-F238E27FC236}">
              <a16:creationId xmlns:a16="http://schemas.microsoft.com/office/drawing/2014/main" id="{00000000-0008-0000-0100-000089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394" name="TextBox 393">
          <a:extLst>
            <a:ext uri="{FF2B5EF4-FFF2-40B4-BE49-F238E27FC236}">
              <a16:creationId xmlns:a16="http://schemas.microsoft.com/office/drawing/2014/main" id="{00000000-0008-0000-0100-00008A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395" name="TextBox 394">
          <a:extLst>
            <a:ext uri="{FF2B5EF4-FFF2-40B4-BE49-F238E27FC236}">
              <a16:creationId xmlns:a16="http://schemas.microsoft.com/office/drawing/2014/main" id="{00000000-0008-0000-0100-00008B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396" name="TextBox 395">
          <a:extLst>
            <a:ext uri="{FF2B5EF4-FFF2-40B4-BE49-F238E27FC236}">
              <a16:creationId xmlns:a16="http://schemas.microsoft.com/office/drawing/2014/main" id="{00000000-0008-0000-0100-00008C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397" name="TextBox 396">
          <a:extLst>
            <a:ext uri="{FF2B5EF4-FFF2-40B4-BE49-F238E27FC236}">
              <a16:creationId xmlns:a16="http://schemas.microsoft.com/office/drawing/2014/main" id="{00000000-0008-0000-0100-00008D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398" name="TextBox 397">
          <a:extLst>
            <a:ext uri="{FF2B5EF4-FFF2-40B4-BE49-F238E27FC236}">
              <a16:creationId xmlns:a16="http://schemas.microsoft.com/office/drawing/2014/main" id="{00000000-0008-0000-0100-00008E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399" name="TextBox 398">
          <a:extLst>
            <a:ext uri="{FF2B5EF4-FFF2-40B4-BE49-F238E27FC236}">
              <a16:creationId xmlns:a16="http://schemas.microsoft.com/office/drawing/2014/main" id="{00000000-0008-0000-0100-00008F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400" name="TextBox 399">
          <a:extLst>
            <a:ext uri="{FF2B5EF4-FFF2-40B4-BE49-F238E27FC236}">
              <a16:creationId xmlns:a16="http://schemas.microsoft.com/office/drawing/2014/main" id="{00000000-0008-0000-0100-000090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401" name="TextBox 400">
          <a:extLst>
            <a:ext uri="{FF2B5EF4-FFF2-40B4-BE49-F238E27FC236}">
              <a16:creationId xmlns:a16="http://schemas.microsoft.com/office/drawing/2014/main" id="{00000000-0008-0000-0100-000091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402" name="TextBox 401">
          <a:extLst>
            <a:ext uri="{FF2B5EF4-FFF2-40B4-BE49-F238E27FC236}">
              <a16:creationId xmlns:a16="http://schemas.microsoft.com/office/drawing/2014/main" id="{00000000-0008-0000-0100-000092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403" name="TextBox 402">
          <a:extLst>
            <a:ext uri="{FF2B5EF4-FFF2-40B4-BE49-F238E27FC236}">
              <a16:creationId xmlns:a16="http://schemas.microsoft.com/office/drawing/2014/main" id="{00000000-0008-0000-0100-000093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404" name="TextBox 403">
          <a:extLst>
            <a:ext uri="{FF2B5EF4-FFF2-40B4-BE49-F238E27FC236}">
              <a16:creationId xmlns:a16="http://schemas.microsoft.com/office/drawing/2014/main" id="{00000000-0008-0000-0100-000094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405" name="TextBox 404">
          <a:extLst>
            <a:ext uri="{FF2B5EF4-FFF2-40B4-BE49-F238E27FC236}">
              <a16:creationId xmlns:a16="http://schemas.microsoft.com/office/drawing/2014/main" id="{00000000-0008-0000-0100-000095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406" name="TextBox 405">
          <a:extLst>
            <a:ext uri="{FF2B5EF4-FFF2-40B4-BE49-F238E27FC236}">
              <a16:creationId xmlns:a16="http://schemas.microsoft.com/office/drawing/2014/main" id="{00000000-0008-0000-0100-000096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407" name="TextBox 406">
          <a:extLst>
            <a:ext uri="{FF2B5EF4-FFF2-40B4-BE49-F238E27FC236}">
              <a16:creationId xmlns:a16="http://schemas.microsoft.com/office/drawing/2014/main" id="{00000000-0008-0000-0100-000097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408" name="TextBox 407">
          <a:extLst>
            <a:ext uri="{FF2B5EF4-FFF2-40B4-BE49-F238E27FC236}">
              <a16:creationId xmlns:a16="http://schemas.microsoft.com/office/drawing/2014/main" id="{00000000-0008-0000-0100-000098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409" name="TextBox 408">
          <a:extLst>
            <a:ext uri="{FF2B5EF4-FFF2-40B4-BE49-F238E27FC236}">
              <a16:creationId xmlns:a16="http://schemas.microsoft.com/office/drawing/2014/main" id="{00000000-0008-0000-0100-000099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410" name="TextBox 409">
          <a:extLst>
            <a:ext uri="{FF2B5EF4-FFF2-40B4-BE49-F238E27FC236}">
              <a16:creationId xmlns:a16="http://schemas.microsoft.com/office/drawing/2014/main" id="{00000000-0008-0000-0100-00009A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411" name="TextBox 410">
          <a:extLst>
            <a:ext uri="{FF2B5EF4-FFF2-40B4-BE49-F238E27FC236}">
              <a16:creationId xmlns:a16="http://schemas.microsoft.com/office/drawing/2014/main" id="{00000000-0008-0000-0100-00009B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412" name="TextBox 411">
          <a:extLst>
            <a:ext uri="{FF2B5EF4-FFF2-40B4-BE49-F238E27FC236}">
              <a16:creationId xmlns:a16="http://schemas.microsoft.com/office/drawing/2014/main" id="{00000000-0008-0000-0100-00009C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413" name="TextBox 412">
          <a:extLst>
            <a:ext uri="{FF2B5EF4-FFF2-40B4-BE49-F238E27FC236}">
              <a16:creationId xmlns:a16="http://schemas.microsoft.com/office/drawing/2014/main" id="{00000000-0008-0000-0100-00009D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414" name="TextBox 413">
          <a:extLst>
            <a:ext uri="{FF2B5EF4-FFF2-40B4-BE49-F238E27FC236}">
              <a16:creationId xmlns:a16="http://schemas.microsoft.com/office/drawing/2014/main" id="{00000000-0008-0000-0100-00009E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415" name="TextBox 414">
          <a:extLst>
            <a:ext uri="{FF2B5EF4-FFF2-40B4-BE49-F238E27FC236}">
              <a16:creationId xmlns:a16="http://schemas.microsoft.com/office/drawing/2014/main" id="{00000000-0008-0000-0100-00009F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416" name="TextBox 415">
          <a:extLst>
            <a:ext uri="{FF2B5EF4-FFF2-40B4-BE49-F238E27FC236}">
              <a16:creationId xmlns:a16="http://schemas.microsoft.com/office/drawing/2014/main" id="{00000000-0008-0000-0100-0000A0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417" name="TextBox 416">
          <a:extLst>
            <a:ext uri="{FF2B5EF4-FFF2-40B4-BE49-F238E27FC236}">
              <a16:creationId xmlns:a16="http://schemas.microsoft.com/office/drawing/2014/main" id="{00000000-0008-0000-0100-0000A1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418" name="TextBox 417">
          <a:extLst>
            <a:ext uri="{FF2B5EF4-FFF2-40B4-BE49-F238E27FC236}">
              <a16:creationId xmlns:a16="http://schemas.microsoft.com/office/drawing/2014/main" id="{00000000-0008-0000-0100-0000A2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419" name="TextBox 418">
          <a:extLst>
            <a:ext uri="{FF2B5EF4-FFF2-40B4-BE49-F238E27FC236}">
              <a16:creationId xmlns:a16="http://schemas.microsoft.com/office/drawing/2014/main" id="{00000000-0008-0000-0100-0000A3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420" name="TextBox 419">
          <a:extLst>
            <a:ext uri="{FF2B5EF4-FFF2-40B4-BE49-F238E27FC236}">
              <a16:creationId xmlns:a16="http://schemas.microsoft.com/office/drawing/2014/main" id="{00000000-0008-0000-0100-0000A4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421" name="TextBox 420">
          <a:extLst>
            <a:ext uri="{FF2B5EF4-FFF2-40B4-BE49-F238E27FC236}">
              <a16:creationId xmlns:a16="http://schemas.microsoft.com/office/drawing/2014/main" id="{00000000-0008-0000-0100-0000A5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422" name="TextBox 421">
          <a:extLst>
            <a:ext uri="{FF2B5EF4-FFF2-40B4-BE49-F238E27FC236}">
              <a16:creationId xmlns:a16="http://schemas.microsoft.com/office/drawing/2014/main" id="{00000000-0008-0000-0100-0000A6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423" name="TextBox 422">
          <a:extLst>
            <a:ext uri="{FF2B5EF4-FFF2-40B4-BE49-F238E27FC236}">
              <a16:creationId xmlns:a16="http://schemas.microsoft.com/office/drawing/2014/main" id="{00000000-0008-0000-0100-0000A7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424" name="TextBox 423">
          <a:extLst>
            <a:ext uri="{FF2B5EF4-FFF2-40B4-BE49-F238E27FC236}">
              <a16:creationId xmlns:a16="http://schemas.microsoft.com/office/drawing/2014/main" id="{00000000-0008-0000-0100-0000A8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425" name="TextBox 424">
          <a:extLst>
            <a:ext uri="{FF2B5EF4-FFF2-40B4-BE49-F238E27FC236}">
              <a16:creationId xmlns:a16="http://schemas.microsoft.com/office/drawing/2014/main" id="{00000000-0008-0000-0100-0000A9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426" name="TextBox 425">
          <a:extLst>
            <a:ext uri="{FF2B5EF4-FFF2-40B4-BE49-F238E27FC236}">
              <a16:creationId xmlns:a16="http://schemas.microsoft.com/office/drawing/2014/main" id="{00000000-0008-0000-0100-0000AA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427" name="TextBox 426">
          <a:extLst>
            <a:ext uri="{FF2B5EF4-FFF2-40B4-BE49-F238E27FC236}">
              <a16:creationId xmlns:a16="http://schemas.microsoft.com/office/drawing/2014/main" id="{00000000-0008-0000-0100-0000AB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428" name="TextBox 427">
          <a:extLst>
            <a:ext uri="{FF2B5EF4-FFF2-40B4-BE49-F238E27FC236}">
              <a16:creationId xmlns:a16="http://schemas.microsoft.com/office/drawing/2014/main" id="{00000000-0008-0000-0100-0000AC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429" name="TextBox 428">
          <a:extLst>
            <a:ext uri="{FF2B5EF4-FFF2-40B4-BE49-F238E27FC236}">
              <a16:creationId xmlns:a16="http://schemas.microsoft.com/office/drawing/2014/main" id="{00000000-0008-0000-0100-0000AD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430" name="TextBox 429">
          <a:extLst>
            <a:ext uri="{FF2B5EF4-FFF2-40B4-BE49-F238E27FC236}">
              <a16:creationId xmlns:a16="http://schemas.microsoft.com/office/drawing/2014/main" id="{00000000-0008-0000-0100-0000AE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431" name="TextBox 430">
          <a:extLst>
            <a:ext uri="{FF2B5EF4-FFF2-40B4-BE49-F238E27FC236}">
              <a16:creationId xmlns:a16="http://schemas.microsoft.com/office/drawing/2014/main" id="{00000000-0008-0000-0100-0000AF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432" name="TextBox 431">
          <a:extLst>
            <a:ext uri="{FF2B5EF4-FFF2-40B4-BE49-F238E27FC236}">
              <a16:creationId xmlns:a16="http://schemas.microsoft.com/office/drawing/2014/main" id="{00000000-0008-0000-0100-0000B0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433" name="TextBox 432">
          <a:extLst>
            <a:ext uri="{FF2B5EF4-FFF2-40B4-BE49-F238E27FC236}">
              <a16:creationId xmlns:a16="http://schemas.microsoft.com/office/drawing/2014/main" id="{00000000-0008-0000-0100-0000B1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434" name="TextBox 433">
          <a:extLst>
            <a:ext uri="{FF2B5EF4-FFF2-40B4-BE49-F238E27FC236}">
              <a16:creationId xmlns:a16="http://schemas.microsoft.com/office/drawing/2014/main" id="{00000000-0008-0000-0100-0000B2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435" name="TextBox 434">
          <a:extLst>
            <a:ext uri="{FF2B5EF4-FFF2-40B4-BE49-F238E27FC236}">
              <a16:creationId xmlns:a16="http://schemas.microsoft.com/office/drawing/2014/main" id="{00000000-0008-0000-0100-0000B3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436" name="TextBox 435">
          <a:extLst>
            <a:ext uri="{FF2B5EF4-FFF2-40B4-BE49-F238E27FC236}">
              <a16:creationId xmlns:a16="http://schemas.microsoft.com/office/drawing/2014/main" id="{00000000-0008-0000-0100-0000B4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437" name="TextBox 436">
          <a:extLst>
            <a:ext uri="{FF2B5EF4-FFF2-40B4-BE49-F238E27FC236}">
              <a16:creationId xmlns:a16="http://schemas.microsoft.com/office/drawing/2014/main" id="{00000000-0008-0000-0100-0000B5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438" name="TextBox 437">
          <a:extLst>
            <a:ext uri="{FF2B5EF4-FFF2-40B4-BE49-F238E27FC236}">
              <a16:creationId xmlns:a16="http://schemas.microsoft.com/office/drawing/2014/main" id="{00000000-0008-0000-0100-0000B6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439" name="TextBox 438">
          <a:extLst>
            <a:ext uri="{FF2B5EF4-FFF2-40B4-BE49-F238E27FC236}">
              <a16:creationId xmlns:a16="http://schemas.microsoft.com/office/drawing/2014/main" id="{00000000-0008-0000-0100-0000B7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440" name="TextBox 439">
          <a:extLst>
            <a:ext uri="{FF2B5EF4-FFF2-40B4-BE49-F238E27FC236}">
              <a16:creationId xmlns:a16="http://schemas.microsoft.com/office/drawing/2014/main" id="{00000000-0008-0000-0100-0000B8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65</xdr:row>
      <xdr:rowOff>0</xdr:rowOff>
    </xdr:from>
    <xdr:ext cx="184731" cy="264560"/>
    <xdr:sp macro="" textlink="">
      <xdr:nvSpPr>
        <xdr:cNvPr id="441" name="TextBox 440">
          <a:extLst>
            <a:ext uri="{FF2B5EF4-FFF2-40B4-BE49-F238E27FC236}">
              <a16:creationId xmlns:a16="http://schemas.microsoft.com/office/drawing/2014/main" id="{00000000-0008-0000-0100-0000B9010000}"/>
            </a:ext>
          </a:extLst>
        </xdr:cNvPr>
        <xdr:cNvSpPr txBox="1"/>
      </xdr:nvSpPr>
      <xdr:spPr>
        <a:xfrm>
          <a:off x="4933950" y="1243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53915</xdr:rowOff>
    </xdr:from>
    <xdr:ext cx="184731" cy="264560"/>
    <xdr:sp macro="" textlink="">
      <xdr:nvSpPr>
        <xdr:cNvPr id="442" name="TextBox 441">
          <a:extLst>
            <a:ext uri="{FF2B5EF4-FFF2-40B4-BE49-F238E27FC236}">
              <a16:creationId xmlns:a16="http://schemas.microsoft.com/office/drawing/2014/main" id="{00000000-0008-0000-0100-0000BA010000}"/>
            </a:ext>
          </a:extLst>
        </xdr:cNvPr>
        <xdr:cNvSpPr txBox="1"/>
      </xdr:nvSpPr>
      <xdr:spPr>
        <a:xfrm>
          <a:off x="4933950"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53915</xdr:rowOff>
    </xdr:from>
    <xdr:ext cx="184731" cy="264560"/>
    <xdr:sp macro="" textlink="">
      <xdr:nvSpPr>
        <xdr:cNvPr id="443" name="TextBox 442">
          <a:extLst>
            <a:ext uri="{FF2B5EF4-FFF2-40B4-BE49-F238E27FC236}">
              <a16:creationId xmlns:a16="http://schemas.microsoft.com/office/drawing/2014/main" id="{00000000-0008-0000-0100-0000BB010000}"/>
            </a:ext>
          </a:extLst>
        </xdr:cNvPr>
        <xdr:cNvSpPr txBox="1"/>
      </xdr:nvSpPr>
      <xdr:spPr>
        <a:xfrm>
          <a:off x="4933950"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53915</xdr:rowOff>
    </xdr:from>
    <xdr:ext cx="184731" cy="264560"/>
    <xdr:sp macro="" textlink="">
      <xdr:nvSpPr>
        <xdr:cNvPr id="444" name="TextBox 443">
          <a:extLst>
            <a:ext uri="{FF2B5EF4-FFF2-40B4-BE49-F238E27FC236}">
              <a16:creationId xmlns:a16="http://schemas.microsoft.com/office/drawing/2014/main" id="{00000000-0008-0000-0100-0000BC010000}"/>
            </a:ext>
          </a:extLst>
        </xdr:cNvPr>
        <xdr:cNvSpPr txBox="1"/>
      </xdr:nvSpPr>
      <xdr:spPr>
        <a:xfrm>
          <a:off x="4933950"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0</xdr:rowOff>
    </xdr:from>
    <xdr:ext cx="184731" cy="264560"/>
    <xdr:sp macro="" textlink="">
      <xdr:nvSpPr>
        <xdr:cNvPr id="445" name="TextBox 444">
          <a:extLst>
            <a:ext uri="{FF2B5EF4-FFF2-40B4-BE49-F238E27FC236}">
              <a16:creationId xmlns:a16="http://schemas.microsoft.com/office/drawing/2014/main" id="{00000000-0008-0000-0100-0000BD010000}"/>
            </a:ext>
          </a:extLst>
        </xdr:cNvPr>
        <xdr:cNvSpPr txBox="1"/>
      </xdr:nvSpPr>
      <xdr:spPr>
        <a:xfrm>
          <a:off x="4933950" y="1838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53915</xdr:rowOff>
    </xdr:from>
    <xdr:ext cx="184731" cy="264560"/>
    <xdr:sp macro="" textlink="">
      <xdr:nvSpPr>
        <xdr:cNvPr id="446" name="TextBox 445">
          <a:extLst>
            <a:ext uri="{FF2B5EF4-FFF2-40B4-BE49-F238E27FC236}">
              <a16:creationId xmlns:a16="http://schemas.microsoft.com/office/drawing/2014/main" id="{00000000-0008-0000-0100-0000BE010000}"/>
            </a:ext>
          </a:extLst>
        </xdr:cNvPr>
        <xdr:cNvSpPr txBox="1"/>
      </xdr:nvSpPr>
      <xdr:spPr>
        <a:xfrm>
          <a:off x="4933950"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11</xdr:row>
      <xdr:rowOff>53915</xdr:rowOff>
    </xdr:from>
    <xdr:ext cx="184731" cy="264560"/>
    <xdr:sp macro="" textlink="">
      <xdr:nvSpPr>
        <xdr:cNvPr id="447" name="TextBox 446">
          <a:extLst>
            <a:ext uri="{FF2B5EF4-FFF2-40B4-BE49-F238E27FC236}">
              <a16:creationId xmlns:a16="http://schemas.microsoft.com/office/drawing/2014/main" id="{00000000-0008-0000-0100-0000BF010000}"/>
            </a:ext>
          </a:extLst>
        </xdr:cNvPr>
        <xdr:cNvSpPr txBox="1"/>
      </xdr:nvSpPr>
      <xdr:spPr>
        <a:xfrm>
          <a:off x="4933950" y="16922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11</xdr:row>
      <xdr:rowOff>53915</xdr:rowOff>
    </xdr:from>
    <xdr:ext cx="184731" cy="264560"/>
    <xdr:sp macro="" textlink="">
      <xdr:nvSpPr>
        <xdr:cNvPr id="448" name="TextBox 447">
          <a:extLst>
            <a:ext uri="{FF2B5EF4-FFF2-40B4-BE49-F238E27FC236}">
              <a16:creationId xmlns:a16="http://schemas.microsoft.com/office/drawing/2014/main" id="{00000000-0008-0000-0100-0000C0010000}"/>
            </a:ext>
          </a:extLst>
        </xdr:cNvPr>
        <xdr:cNvSpPr txBox="1"/>
      </xdr:nvSpPr>
      <xdr:spPr>
        <a:xfrm>
          <a:off x="4933950" y="16922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11</xdr:row>
      <xdr:rowOff>53915</xdr:rowOff>
    </xdr:from>
    <xdr:ext cx="184731" cy="264560"/>
    <xdr:sp macro="" textlink="">
      <xdr:nvSpPr>
        <xdr:cNvPr id="449" name="TextBox 448">
          <a:extLst>
            <a:ext uri="{FF2B5EF4-FFF2-40B4-BE49-F238E27FC236}">
              <a16:creationId xmlns:a16="http://schemas.microsoft.com/office/drawing/2014/main" id="{00000000-0008-0000-0100-0000C1010000}"/>
            </a:ext>
          </a:extLst>
        </xdr:cNvPr>
        <xdr:cNvSpPr txBox="1"/>
      </xdr:nvSpPr>
      <xdr:spPr>
        <a:xfrm>
          <a:off x="4933950" y="16922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11</xdr:row>
      <xdr:rowOff>0</xdr:rowOff>
    </xdr:from>
    <xdr:ext cx="184731" cy="264560"/>
    <xdr:sp macro="" textlink="">
      <xdr:nvSpPr>
        <xdr:cNvPr id="450" name="TextBox 449">
          <a:extLst>
            <a:ext uri="{FF2B5EF4-FFF2-40B4-BE49-F238E27FC236}">
              <a16:creationId xmlns:a16="http://schemas.microsoft.com/office/drawing/2014/main" id="{00000000-0008-0000-0100-0000C2010000}"/>
            </a:ext>
          </a:extLst>
        </xdr:cNvPr>
        <xdr:cNvSpPr txBox="1"/>
      </xdr:nvSpPr>
      <xdr:spPr>
        <a:xfrm>
          <a:off x="4933950" y="163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11</xdr:row>
      <xdr:rowOff>53915</xdr:rowOff>
    </xdr:from>
    <xdr:ext cx="184731" cy="264560"/>
    <xdr:sp macro="" textlink="">
      <xdr:nvSpPr>
        <xdr:cNvPr id="451" name="TextBox 450">
          <a:extLst>
            <a:ext uri="{FF2B5EF4-FFF2-40B4-BE49-F238E27FC236}">
              <a16:creationId xmlns:a16="http://schemas.microsoft.com/office/drawing/2014/main" id="{00000000-0008-0000-0100-0000C3010000}"/>
            </a:ext>
          </a:extLst>
        </xdr:cNvPr>
        <xdr:cNvSpPr txBox="1"/>
      </xdr:nvSpPr>
      <xdr:spPr>
        <a:xfrm>
          <a:off x="4933950" y="16922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53915</xdr:rowOff>
    </xdr:from>
    <xdr:ext cx="184731" cy="264560"/>
    <xdr:sp macro="" textlink="">
      <xdr:nvSpPr>
        <xdr:cNvPr id="452" name="TextBox 451">
          <a:extLst>
            <a:ext uri="{FF2B5EF4-FFF2-40B4-BE49-F238E27FC236}">
              <a16:creationId xmlns:a16="http://schemas.microsoft.com/office/drawing/2014/main" id="{00000000-0008-0000-0100-0000C4010000}"/>
            </a:ext>
          </a:extLst>
        </xdr:cNvPr>
        <xdr:cNvSpPr txBox="1"/>
      </xdr:nvSpPr>
      <xdr:spPr>
        <a:xfrm>
          <a:off x="4933950"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53915</xdr:rowOff>
    </xdr:from>
    <xdr:ext cx="184731" cy="264560"/>
    <xdr:sp macro="" textlink="">
      <xdr:nvSpPr>
        <xdr:cNvPr id="453" name="TextBox 452">
          <a:extLst>
            <a:ext uri="{FF2B5EF4-FFF2-40B4-BE49-F238E27FC236}">
              <a16:creationId xmlns:a16="http://schemas.microsoft.com/office/drawing/2014/main" id="{00000000-0008-0000-0100-0000C5010000}"/>
            </a:ext>
          </a:extLst>
        </xdr:cNvPr>
        <xdr:cNvSpPr txBox="1"/>
      </xdr:nvSpPr>
      <xdr:spPr>
        <a:xfrm>
          <a:off x="4933950"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53915</xdr:rowOff>
    </xdr:from>
    <xdr:ext cx="184731" cy="264560"/>
    <xdr:sp macro="" textlink="">
      <xdr:nvSpPr>
        <xdr:cNvPr id="454" name="TextBox 453">
          <a:extLst>
            <a:ext uri="{FF2B5EF4-FFF2-40B4-BE49-F238E27FC236}">
              <a16:creationId xmlns:a16="http://schemas.microsoft.com/office/drawing/2014/main" id="{00000000-0008-0000-0100-0000C6010000}"/>
            </a:ext>
          </a:extLst>
        </xdr:cNvPr>
        <xdr:cNvSpPr txBox="1"/>
      </xdr:nvSpPr>
      <xdr:spPr>
        <a:xfrm>
          <a:off x="4933950"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0</xdr:rowOff>
    </xdr:from>
    <xdr:ext cx="184731" cy="264560"/>
    <xdr:sp macro="" textlink="">
      <xdr:nvSpPr>
        <xdr:cNvPr id="455" name="TextBox 454">
          <a:extLst>
            <a:ext uri="{FF2B5EF4-FFF2-40B4-BE49-F238E27FC236}">
              <a16:creationId xmlns:a16="http://schemas.microsoft.com/office/drawing/2014/main" id="{00000000-0008-0000-0100-0000C7010000}"/>
            </a:ext>
          </a:extLst>
        </xdr:cNvPr>
        <xdr:cNvSpPr txBox="1"/>
      </xdr:nvSpPr>
      <xdr:spPr>
        <a:xfrm>
          <a:off x="4933950" y="1838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53915</xdr:rowOff>
    </xdr:from>
    <xdr:ext cx="184731" cy="264560"/>
    <xdr:sp macro="" textlink="">
      <xdr:nvSpPr>
        <xdr:cNvPr id="456" name="TextBox 455">
          <a:extLst>
            <a:ext uri="{FF2B5EF4-FFF2-40B4-BE49-F238E27FC236}">
              <a16:creationId xmlns:a16="http://schemas.microsoft.com/office/drawing/2014/main" id="{00000000-0008-0000-0100-0000C8010000}"/>
            </a:ext>
          </a:extLst>
        </xdr:cNvPr>
        <xdr:cNvSpPr txBox="1"/>
      </xdr:nvSpPr>
      <xdr:spPr>
        <a:xfrm>
          <a:off x="4933950"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11</xdr:row>
      <xdr:rowOff>53915</xdr:rowOff>
    </xdr:from>
    <xdr:ext cx="184731" cy="264560"/>
    <xdr:sp macro="" textlink="">
      <xdr:nvSpPr>
        <xdr:cNvPr id="457" name="TextBox 456">
          <a:extLst>
            <a:ext uri="{FF2B5EF4-FFF2-40B4-BE49-F238E27FC236}">
              <a16:creationId xmlns:a16="http://schemas.microsoft.com/office/drawing/2014/main" id="{00000000-0008-0000-0100-0000C9010000}"/>
            </a:ext>
          </a:extLst>
        </xdr:cNvPr>
        <xdr:cNvSpPr txBox="1"/>
      </xdr:nvSpPr>
      <xdr:spPr>
        <a:xfrm>
          <a:off x="4933950" y="16922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11</xdr:row>
      <xdr:rowOff>53915</xdr:rowOff>
    </xdr:from>
    <xdr:ext cx="184731" cy="264560"/>
    <xdr:sp macro="" textlink="">
      <xdr:nvSpPr>
        <xdr:cNvPr id="458" name="TextBox 457">
          <a:extLst>
            <a:ext uri="{FF2B5EF4-FFF2-40B4-BE49-F238E27FC236}">
              <a16:creationId xmlns:a16="http://schemas.microsoft.com/office/drawing/2014/main" id="{00000000-0008-0000-0100-0000CA010000}"/>
            </a:ext>
          </a:extLst>
        </xdr:cNvPr>
        <xdr:cNvSpPr txBox="1"/>
      </xdr:nvSpPr>
      <xdr:spPr>
        <a:xfrm>
          <a:off x="4933950" y="16922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11</xdr:row>
      <xdr:rowOff>53915</xdr:rowOff>
    </xdr:from>
    <xdr:ext cx="184731" cy="264560"/>
    <xdr:sp macro="" textlink="">
      <xdr:nvSpPr>
        <xdr:cNvPr id="459" name="TextBox 458">
          <a:extLst>
            <a:ext uri="{FF2B5EF4-FFF2-40B4-BE49-F238E27FC236}">
              <a16:creationId xmlns:a16="http://schemas.microsoft.com/office/drawing/2014/main" id="{00000000-0008-0000-0100-0000CB010000}"/>
            </a:ext>
          </a:extLst>
        </xdr:cNvPr>
        <xdr:cNvSpPr txBox="1"/>
      </xdr:nvSpPr>
      <xdr:spPr>
        <a:xfrm>
          <a:off x="4933950" y="16922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11</xdr:row>
      <xdr:rowOff>0</xdr:rowOff>
    </xdr:from>
    <xdr:ext cx="184731" cy="264560"/>
    <xdr:sp macro="" textlink="">
      <xdr:nvSpPr>
        <xdr:cNvPr id="460" name="TextBox 459">
          <a:extLst>
            <a:ext uri="{FF2B5EF4-FFF2-40B4-BE49-F238E27FC236}">
              <a16:creationId xmlns:a16="http://schemas.microsoft.com/office/drawing/2014/main" id="{00000000-0008-0000-0100-0000CC010000}"/>
            </a:ext>
          </a:extLst>
        </xdr:cNvPr>
        <xdr:cNvSpPr txBox="1"/>
      </xdr:nvSpPr>
      <xdr:spPr>
        <a:xfrm>
          <a:off x="4933950" y="163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11</xdr:row>
      <xdr:rowOff>53915</xdr:rowOff>
    </xdr:from>
    <xdr:ext cx="184731" cy="264560"/>
    <xdr:sp macro="" textlink="">
      <xdr:nvSpPr>
        <xdr:cNvPr id="461" name="TextBox 460">
          <a:extLst>
            <a:ext uri="{FF2B5EF4-FFF2-40B4-BE49-F238E27FC236}">
              <a16:creationId xmlns:a16="http://schemas.microsoft.com/office/drawing/2014/main" id="{00000000-0008-0000-0100-0000CD010000}"/>
            </a:ext>
          </a:extLst>
        </xdr:cNvPr>
        <xdr:cNvSpPr txBox="1"/>
      </xdr:nvSpPr>
      <xdr:spPr>
        <a:xfrm>
          <a:off x="4933950" y="16922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53915</xdr:rowOff>
    </xdr:from>
    <xdr:ext cx="184731" cy="264560"/>
    <xdr:sp macro="" textlink="">
      <xdr:nvSpPr>
        <xdr:cNvPr id="462" name="TextBox 461">
          <a:extLst>
            <a:ext uri="{FF2B5EF4-FFF2-40B4-BE49-F238E27FC236}">
              <a16:creationId xmlns:a16="http://schemas.microsoft.com/office/drawing/2014/main" id="{00000000-0008-0000-0100-0000CE010000}"/>
            </a:ext>
          </a:extLst>
        </xdr:cNvPr>
        <xdr:cNvSpPr txBox="1"/>
      </xdr:nvSpPr>
      <xdr:spPr>
        <a:xfrm>
          <a:off x="4933950"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53915</xdr:rowOff>
    </xdr:from>
    <xdr:ext cx="184731" cy="264560"/>
    <xdr:sp macro="" textlink="">
      <xdr:nvSpPr>
        <xdr:cNvPr id="463" name="TextBox 462">
          <a:extLst>
            <a:ext uri="{FF2B5EF4-FFF2-40B4-BE49-F238E27FC236}">
              <a16:creationId xmlns:a16="http://schemas.microsoft.com/office/drawing/2014/main" id="{00000000-0008-0000-0100-0000CF010000}"/>
            </a:ext>
          </a:extLst>
        </xdr:cNvPr>
        <xdr:cNvSpPr txBox="1"/>
      </xdr:nvSpPr>
      <xdr:spPr>
        <a:xfrm>
          <a:off x="4933950"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53915</xdr:rowOff>
    </xdr:from>
    <xdr:ext cx="184731" cy="264560"/>
    <xdr:sp macro="" textlink="">
      <xdr:nvSpPr>
        <xdr:cNvPr id="464" name="TextBox 463">
          <a:extLst>
            <a:ext uri="{FF2B5EF4-FFF2-40B4-BE49-F238E27FC236}">
              <a16:creationId xmlns:a16="http://schemas.microsoft.com/office/drawing/2014/main" id="{00000000-0008-0000-0100-0000D0010000}"/>
            </a:ext>
          </a:extLst>
        </xdr:cNvPr>
        <xdr:cNvSpPr txBox="1"/>
      </xdr:nvSpPr>
      <xdr:spPr>
        <a:xfrm>
          <a:off x="4933950"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0</xdr:rowOff>
    </xdr:from>
    <xdr:ext cx="184731" cy="264560"/>
    <xdr:sp macro="" textlink="">
      <xdr:nvSpPr>
        <xdr:cNvPr id="465" name="TextBox 464">
          <a:extLst>
            <a:ext uri="{FF2B5EF4-FFF2-40B4-BE49-F238E27FC236}">
              <a16:creationId xmlns:a16="http://schemas.microsoft.com/office/drawing/2014/main" id="{00000000-0008-0000-0100-0000D1010000}"/>
            </a:ext>
          </a:extLst>
        </xdr:cNvPr>
        <xdr:cNvSpPr txBox="1"/>
      </xdr:nvSpPr>
      <xdr:spPr>
        <a:xfrm>
          <a:off x="4933950" y="1838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53915</xdr:rowOff>
    </xdr:from>
    <xdr:ext cx="184731" cy="264560"/>
    <xdr:sp macro="" textlink="">
      <xdr:nvSpPr>
        <xdr:cNvPr id="466" name="TextBox 465">
          <a:extLst>
            <a:ext uri="{FF2B5EF4-FFF2-40B4-BE49-F238E27FC236}">
              <a16:creationId xmlns:a16="http://schemas.microsoft.com/office/drawing/2014/main" id="{00000000-0008-0000-0100-0000D2010000}"/>
            </a:ext>
          </a:extLst>
        </xdr:cNvPr>
        <xdr:cNvSpPr txBox="1"/>
      </xdr:nvSpPr>
      <xdr:spPr>
        <a:xfrm>
          <a:off x="4933950"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11</xdr:row>
      <xdr:rowOff>53915</xdr:rowOff>
    </xdr:from>
    <xdr:ext cx="184731" cy="264560"/>
    <xdr:sp macro="" textlink="">
      <xdr:nvSpPr>
        <xdr:cNvPr id="467" name="TextBox 466">
          <a:extLst>
            <a:ext uri="{FF2B5EF4-FFF2-40B4-BE49-F238E27FC236}">
              <a16:creationId xmlns:a16="http://schemas.microsoft.com/office/drawing/2014/main" id="{00000000-0008-0000-0100-0000D3010000}"/>
            </a:ext>
          </a:extLst>
        </xdr:cNvPr>
        <xdr:cNvSpPr txBox="1"/>
      </xdr:nvSpPr>
      <xdr:spPr>
        <a:xfrm>
          <a:off x="4933950" y="16922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11</xdr:row>
      <xdr:rowOff>53915</xdr:rowOff>
    </xdr:from>
    <xdr:ext cx="184731" cy="264560"/>
    <xdr:sp macro="" textlink="">
      <xdr:nvSpPr>
        <xdr:cNvPr id="468" name="TextBox 467">
          <a:extLst>
            <a:ext uri="{FF2B5EF4-FFF2-40B4-BE49-F238E27FC236}">
              <a16:creationId xmlns:a16="http://schemas.microsoft.com/office/drawing/2014/main" id="{00000000-0008-0000-0100-0000D4010000}"/>
            </a:ext>
          </a:extLst>
        </xdr:cNvPr>
        <xdr:cNvSpPr txBox="1"/>
      </xdr:nvSpPr>
      <xdr:spPr>
        <a:xfrm>
          <a:off x="4933950" y="16922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11</xdr:row>
      <xdr:rowOff>53915</xdr:rowOff>
    </xdr:from>
    <xdr:ext cx="184731" cy="264560"/>
    <xdr:sp macro="" textlink="">
      <xdr:nvSpPr>
        <xdr:cNvPr id="469" name="TextBox 468">
          <a:extLst>
            <a:ext uri="{FF2B5EF4-FFF2-40B4-BE49-F238E27FC236}">
              <a16:creationId xmlns:a16="http://schemas.microsoft.com/office/drawing/2014/main" id="{00000000-0008-0000-0100-0000D5010000}"/>
            </a:ext>
          </a:extLst>
        </xdr:cNvPr>
        <xdr:cNvSpPr txBox="1"/>
      </xdr:nvSpPr>
      <xdr:spPr>
        <a:xfrm>
          <a:off x="4933950" y="16922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11</xdr:row>
      <xdr:rowOff>0</xdr:rowOff>
    </xdr:from>
    <xdr:ext cx="184731" cy="264560"/>
    <xdr:sp macro="" textlink="">
      <xdr:nvSpPr>
        <xdr:cNvPr id="470" name="TextBox 469">
          <a:extLst>
            <a:ext uri="{FF2B5EF4-FFF2-40B4-BE49-F238E27FC236}">
              <a16:creationId xmlns:a16="http://schemas.microsoft.com/office/drawing/2014/main" id="{00000000-0008-0000-0100-0000D6010000}"/>
            </a:ext>
          </a:extLst>
        </xdr:cNvPr>
        <xdr:cNvSpPr txBox="1"/>
      </xdr:nvSpPr>
      <xdr:spPr>
        <a:xfrm>
          <a:off x="4933950" y="163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11</xdr:row>
      <xdr:rowOff>53915</xdr:rowOff>
    </xdr:from>
    <xdr:ext cx="184731" cy="264560"/>
    <xdr:sp macro="" textlink="">
      <xdr:nvSpPr>
        <xdr:cNvPr id="471" name="TextBox 470">
          <a:extLst>
            <a:ext uri="{FF2B5EF4-FFF2-40B4-BE49-F238E27FC236}">
              <a16:creationId xmlns:a16="http://schemas.microsoft.com/office/drawing/2014/main" id="{00000000-0008-0000-0100-0000D7010000}"/>
            </a:ext>
          </a:extLst>
        </xdr:cNvPr>
        <xdr:cNvSpPr txBox="1"/>
      </xdr:nvSpPr>
      <xdr:spPr>
        <a:xfrm>
          <a:off x="4933950" y="16922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53915</xdr:rowOff>
    </xdr:from>
    <xdr:ext cx="184731" cy="264560"/>
    <xdr:sp macro="" textlink="">
      <xdr:nvSpPr>
        <xdr:cNvPr id="472" name="TextBox 471">
          <a:extLst>
            <a:ext uri="{FF2B5EF4-FFF2-40B4-BE49-F238E27FC236}">
              <a16:creationId xmlns:a16="http://schemas.microsoft.com/office/drawing/2014/main" id="{00000000-0008-0000-0100-0000D8010000}"/>
            </a:ext>
          </a:extLst>
        </xdr:cNvPr>
        <xdr:cNvSpPr txBox="1"/>
      </xdr:nvSpPr>
      <xdr:spPr>
        <a:xfrm>
          <a:off x="4933950"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53915</xdr:rowOff>
    </xdr:from>
    <xdr:ext cx="184731" cy="264560"/>
    <xdr:sp macro="" textlink="">
      <xdr:nvSpPr>
        <xdr:cNvPr id="473" name="TextBox 472">
          <a:extLst>
            <a:ext uri="{FF2B5EF4-FFF2-40B4-BE49-F238E27FC236}">
              <a16:creationId xmlns:a16="http://schemas.microsoft.com/office/drawing/2014/main" id="{00000000-0008-0000-0100-0000D9010000}"/>
            </a:ext>
          </a:extLst>
        </xdr:cNvPr>
        <xdr:cNvSpPr txBox="1"/>
      </xdr:nvSpPr>
      <xdr:spPr>
        <a:xfrm>
          <a:off x="4933950"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53915</xdr:rowOff>
    </xdr:from>
    <xdr:ext cx="184731" cy="264560"/>
    <xdr:sp macro="" textlink="">
      <xdr:nvSpPr>
        <xdr:cNvPr id="474" name="TextBox 473">
          <a:extLst>
            <a:ext uri="{FF2B5EF4-FFF2-40B4-BE49-F238E27FC236}">
              <a16:creationId xmlns:a16="http://schemas.microsoft.com/office/drawing/2014/main" id="{00000000-0008-0000-0100-0000DA010000}"/>
            </a:ext>
          </a:extLst>
        </xdr:cNvPr>
        <xdr:cNvSpPr txBox="1"/>
      </xdr:nvSpPr>
      <xdr:spPr>
        <a:xfrm>
          <a:off x="4933950"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0</xdr:rowOff>
    </xdr:from>
    <xdr:ext cx="184731" cy="264560"/>
    <xdr:sp macro="" textlink="">
      <xdr:nvSpPr>
        <xdr:cNvPr id="475" name="TextBox 474">
          <a:extLst>
            <a:ext uri="{FF2B5EF4-FFF2-40B4-BE49-F238E27FC236}">
              <a16:creationId xmlns:a16="http://schemas.microsoft.com/office/drawing/2014/main" id="{00000000-0008-0000-0100-0000DB010000}"/>
            </a:ext>
          </a:extLst>
        </xdr:cNvPr>
        <xdr:cNvSpPr txBox="1"/>
      </xdr:nvSpPr>
      <xdr:spPr>
        <a:xfrm>
          <a:off x="4933950" y="1838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53915</xdr:rowOff>
    </xdr:from>
    <xdr:ext cx="184731" cy="264560"/>
    <xdr:sp macro="" textlink="">
      <xdr:nvSpPr>
        <xdr:cNvPr id="476" name="TextBox 475">
          <a:extLst>
            <a:ext uri="{FF2B5EF4-FFF2-40B4-BE49-F238E27FC236}">
              <a16:creationId xmlns:a16="http://schemas.microsoft.com/office/drawing/2014/main" id="{00000000-0008-0000-0100-0000DC010000}"/>
            </a:ext>
          </a:extLst>
        </xdr:cNvPr>
        <xdr:cNvSpPr txBox="1"/>
      </xdr:nvSpPr>
      <xdr:spPr>
        <a:xfrm>
          <a:off x="4933950"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12</xdr:row>
      <xdr:rowOff>53915</xdr:rowOff>
    </xdr:from>
    <xdr:ext cx="184731" cy="264560"/>
    <xdr:sp macro="" textlink="">
      <xdr:nvSpPr>
        <xdr:cNvPr id="477" name="TextBox 476">
          <a:extLst>
            <a:ext uri="{FF2B5EF4-FFF2-40B4-BE49-F238E27FC236}">
              <a16:creationId xmlns:a16="http://schemas.microsoft.com/office/drawing/2014/main" id="{00000000-0008-0000-0100-0000DD010000}"/>
            </a:ext>
          </a:extLst>
        </xdr:cNvPr>
        <xdr:cNvSpPr txBox="1"/>
      </xdr:nvSpPr>
      <xdr:spPr>
        <a:xfrm>
          <a:off x="6075153"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12</xdr:row>
      <xdr:rowOff>53915</xdr:rowOff>
    </xdr:from>
    <xdr:ext cx="184731" cy="264560"/>
    <xdr:sp macro="" textlink="">
      <xdr:nvSpPr>
        <xdr:cNvPr id="478" name="TextBox 477">
          <a:extLst>
            <a:ext uri="{FF2B5EF4-FFF2-40B4-BE49-F238E27FC236}">
              <a16:creationId xmlns:a16="http://schemas.microsoft.com/office/drawing/2014/main" id="{00000000-0008-0000-0100-0000DE010000}"/>
            </a:ext>
          </a:extLst>
        </xdr:cNvPr>
        <xdr:cNvSpPr txBox="1"/>
      </xdr:nvSpPr>
      <xdr:spPr>
        <a:xfrm>
          <a:off x="6075153"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12</xdr:row>
      <xdr:rowOff>53915</xdr:rowOff>
    </xdr:from>
    <xdr:ext cx="184731" cy="264560"/>
    <xdr:sp macro="" textlink="">
      <xdr:nvSpPr>
        <xdr:cNvPr id="479" name="TextBox 478">
          <a:extLst>
            <a:ext uri="{FF2B5EF4-FFF2-40B4-BE49-F238E27FC236}">
              <a16:creationId xmlns:a16="http://schemas.microsoft.com/office/drawing/2014/main" id="{00000000-0008-0000-0100-0000DF010000}"/>
            </a:ext>
          </a:extLst>
        </xdr:cNvPr>
        <xdr:cNvSpPr txBox="1"/>
      </xdr:nvSpPr>
      <xdr:spPr>
        <a:xfrm>
          <a:off x="6075153"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12</xdr:row>
      <xdr:rowOff>0</xdr:rowOff>
    </xdr:from>
    <xdr:ext cx="184731" cy="264560"/>
    <xdr:sp macro="" textlink="">
      <xdr:nvSpPr>
        <xdr:cNvPr id="480" name="TextBox 479">
          <a:extLst>
            <a:ext uri="{FF2B5EF4-FFF2-40B4-BE49-F238E27FC236}">
              <a16:creationId xmlns:a16="http://schemas.microsoft.com/office/drawing/2014/main" id="{00000000-0008-0000-0100-0000E0010000}"/>
            </a:ext>
          </a:extLst>
        </xdr:cNvPr>
        <xdr:cNvSpPr txBox="1"/>
      </xdr:nvSpPr>
      <xdr:spPr>
        <a:xfrm>
          <a:off x="6075153" y="1838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12</xdr:row>
      <xdr:rowOff>53915</xdr:rowOff>
    </xdr:from>
    <xdr:ext cx="184731" cy="264560"/>
    <xdr:sp macro="" textlink="">
      <xdr:nvSpPr>
        <xdr:cNvPr id="481" name="TextBox 480">
          <a:extLst>
            <a:ext uri="{FF2B5EF4-FFF2-40B4-BE49-F238E27FC236}">
              <a16:creationId xmlns:a16="http://schemas.microsoft.com/office/drawing/2014/main" id="{00000000-0008-0000-0100-0000E1010000}"/>
            </a:ext>
          </a:extLst>
        </xdr:cNvPr>
        <xdr:cNvSpPr txBox="1"/>
      </xdr:nvSpPr>
      <xdr:spPr>
        <a:xfrm>
          <a:off x="6075153"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53915</xdr:rowOff>
    </xdr:from>
    <xdr:ext cx="184731" cy="264560"/>
    <xdr:sp macro="" textlink="">
      <xdr:nvSpPr>
        <xdr:cNvPr id="482" name="TextBox 481">
          <a:extLst>
            <a:ext uri="{FF2B5EF4-FFF2-40B4-BE49-F238E27FC236}">
              <a16:creationId xmlns:a16="http://schemas.microsoft.com/office/drawing/2014/main" id="{00000000-0008-0000-0100-0000E2010000}"/>
            </a:ext>
          </a:extLst>
        </xdr:cNvPr>
        <xdr:cNvSpPr txBox="1"/>
      </xdr:nvSpPr>
      <xdr:spPr>
        <a:xfrm>
          <a:off x="4933950"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53915</xdr:rowOff>
    </xdr:from>
    <xdr:ext cx="184731" cy="264560"/>
    <xdr:sp macro="" textlink="">
      <xdr:nvSpPr>
        <xdr:cNvPr id="483" name="TextBox 482">
          <a:extLst>
            <a:ext uri="{FF2B5EF4-FFF2-40B4-BE49-F238E27FC236}">
              <a16:creationId xmlns:a16="http://schemas.microsoft.com/office/drawing/2014/main" id="{00000000-0008-0000-0100-0000E3010000}"/>
            </a:ext>
          </a:extLst>
        </xdr:cNvPr>
        <xdr:cNvSpPr txBox="1"/>
      </xdr:nvSpPr>
      <xdr:spPr>
        <a:xfrm>
          <a:off x="4933950"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53915</xdr:rowOff>
    </xdr:from>
    <xdr:ext cx="184731" cy="264560"/>
    <xdr:sp macro="" textlink="">
      <xdr:nvSpPr>
        <xdr:cNvPr id="484" name="TextBox 483">
          <a:extLst>
            <a:ext uri="{FF2B5EF4-FFF2-40B4-BE49-F238E27FC236}">
              <a16:creationId xmlns:a16="http://schemas.microsoft.com/office/drawing/2014/main" id="{00000000-0008-0000-0100-0000E4010000}"/>
            </a:ext>
          </a:extLst>
        </xdr:cNvPr>
        <xdr:cNvSpPr txBox="1"/>
      </xdr:nvSpPr>
      <xdr:spPr>
        <a:xfrm>
          <a:off x="4933950"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0</xdr:rowOff>
    </xdr:from>
    <xdr:ext cx="184731" cy="264560"/>
    <xdr:sp macro="" textlink="">
      <xdr:nvSpPr>
        <xdr:cNvPr id="485" name="TextBox 484">
          <a:extLst>
            <a:ext uri="{FF2B5EF4-FFF2-40B4-BE49-F238E27FC236}">
              <a16:creationId xmlns:a16="http://schemas.microsoft.com/office/drawing/2014/main" id="{00000000-0008-0000-0100-0000E5010000}"/>
            </a:ext>
          </a:extLst>
        </xdr:cNvPr>
        <xdr:cNvSpPr txBox="1"/>
      </xdr:nvSpPr>
      <xdr:spPr>
        <a:xfrm>
          <a:off x="4933950" y="1838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53915</xdr:rowOff>
    </xdr:from>
    <xdr:ext cx="184731" cy="264560"/>
    <xdr:sp macro="" textlink="">
      <xdr:nvSpPr>
        <xdr:cNvPr id="486" name="TextBox 485">
          <a:extLst>
            <a:ext uri="{FF2B5EF4-FFF2-40B4-BE49-F238E27FC236}">
              <a16:creationId xmlns:a16="http://schemas.microsoft.com/office/drawing/2014/main" id="{00000000-0008-0000-0100-0000E6010000}"/>
            </a:ext>
          </a:extLst>
        </xdr:cNvPr>
        <xdr:cNvSpPr txBox="1"/>
      </xdr:nvSpPr>
      <xdr:spPr>
        <a:xfrm>
          <a:off x="4933950"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12</xdr:row>
      <xdr:rowOff>53915</xdr:rowOff>
    </xdr:from>
    <xdr:ext cx="184731" cy="264560"/>
    <xdr:sp macro="" textlink="">
      <xdr:nvSpPr>
        <xdr:cNvPr id="487" name="TextBox 486">
          <a:extLst>
            <a:ext uri="{FF2B5EF4-FFF2-40B4-BE49-F238E27FC236}">
              <a16:creationId xmlns:a16="http://schemas.microsoft.com/office/drawing/2014/main" id="{00000000-0008-0000-0100-0000E7010000}"/>
            </a:ext>
          </a:extLst>
        </xdr:cNvPr>
        <xdr:cNvSpPr txBox="1"/>
      </xdr:nvSpPr>
      <xdr:spPr>
        <a:xfrm>
          <a:off x="6075153"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12</xdr:row>
      <xdr:rowOff>53915</xdr:rowOff>
    </xdr:from>
    <xdr:ext cx="184731" cy="264560"/>
    <xdr:sp macro="" textlink="">
      <xdr:nvSpPr>
        <xdr:cNvPr id="488" name="TextBox 487">
          <a:extLst>
            <a:ext uri="{FF2B5EF4-FFF2-40B4-BE49-F238E27FC236}">
              <a16:creationId xmlns:a16="http://schemas.microsoft.com/office/drawing/2014/main" id="{00000000-0008-0000-0100-0000E8010000}"/>
            </a:ext>
          </a:extLst>
        </xdr:cNvPr>
        <xdr:cNvSpPr txBox="1"/>
      </xdr:nvSpPr>
      <xdr:spPr>
        <a:xfrm>
          <a:off x="6075153"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12</xdr:row>
      <xdr:rowOff>53915</xdr:rowOff>
    </xdr:from>
    <xdr:ext cx="184731" cy="264560"/>
    <xdr:sp macro="" textlink="">
      <xdr:nvSpPr>
        <xdr:cNvPr id="489" name="TextBox 488">
          <a:extLst>
            <a:ext uri="{FF2B5EF4-FFF2-40B4-BE49-F238E27FC236}">
              <a16:creationId xmlns:a16="http://schemas.microsoft.com/office/drawing/2014/main" id="{00000000-0008-0000-0100-0000E9010000}"/>
            </a:ext>
          </a:extLst>
        </xdr:cNvPr>
        <xdr:cNvSpPr txBox="1"/>
      </xdr:nvSpPr>
      <xdr:spPr>
        <a:xfrm>
          <a:off x="6075153"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12</xdr:row>
      <xdr:rowOff>0</xdr:rowOff>
    </xdr:from>
    <xdr:ext cx="184731" cy="264560"/>
    <xdr:sp macro="" textlink="">
      <xdr:nvSpPr>
        <xdr:cNvPr id="490" name="TextBox 489">
          <a:extLst>
            <a:ext uri="{FF2B5EF4-FFF2-40B4-BE49-F238E27FC236}">
              <a16:creationId xmlns:a16="http://schemas.microsoft.com/office/drawing/2014/main" id="{00000000-0008-0000-0100-0000EA010000}"/>
            </a:ext>
          </a:extLst>
        </xdr:cNvPr>
        <xdr:cNvSpPr txBox="1"/>
      </xdr:nvSpPr>
      <xdr:spPr>
        <a:xfrm>
          <a:off x="6075153" y="1838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12</xdr:row>
      <xdr:rowOff>53915</xdr:rowOff>
    </xdr:from>
    <xdr:ext cx="184731" cy="264560"/>
    <xdr:sp macro="" textlink="">
      <xdr:nvSpPr>
        <xdr:cNvPr id="491" name="TextBox 490">
          <a:extLst>
            <a:ext uri="{FF2B5EF4-FFF2-40B4-BE49-F238E27FC236}">
              <a16:creationId xmlns:a16="http://schemas.microsoft.com/office/drawing/2014/main" id="{00000000-0008-0000-0100-0000EB010000}"/>
            </a:ext>
          </a:extLst>
        </xdr:cNvPr>
        <xdr:cNvSpPr txBox="1"/>
      </xdr:nvSpPr>
      <xdr:spPr>
        <a:xfrm>
          <a:off x="6075153"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53915</xdr:rowOff>
    </xdr:from>
    <xdr:ext cx="184731" cy="264560"/>
    <xdr:sp macro="" textlink="">
      <xdr:nvSpPr>
        <xdr:cNvPr id="492" name="TextBox 491">
          <a:extLst>
            <a:ext uri="{FF2B5EF4-FFF2-40B4-BE49-F238E27FC236}">
              <a16:creationId xmlns:a16="http://schemas.microsoft.com/office/drawing/2014/main" id="{00000000-0008-0000-0100-0000EC010000}"/>
            </a:ext>
          </a:extLst>
        </xdr:cNvPr>
        <xdr:cNvSpPr txBox="1"/>
      </xdr:nvSpPr>
      <xdr:spPr>
        <a:xfrm>
          <a:off x="4933950"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53915</xdr:rowOff>
    </xdr:from>
    <xdr:ext cx="184731" cy="264560"/>
    <xdr:sp macro="" textlink="">
      <xdr:nvSpPr>
        <xdr:cNvPr id="493" name="TextBox 492">
          <a:extLst>
            <a:ext uri="{FF2B5EF4-FFF2-40B4-BE49-F238E27FC236}">
              <a16:creationId xmlns:a16="http://schemas.microsoft.com/office/drawing/2014/main" id="{00000000-0008-0000-0100-0000ED010000}"/>
            </a:ext>
          </a:extLst>
        </xdr:cNvPr>
        <xdr:cNvSpPr txBox="1"/>
      </xdr:nvSpPr>
      <xdr:spPr>
        <a:xfrm>
          <a:off x="4933950"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53915</xdr:rowOff>
    </xdr:from>
    <xdr:ext cx="184731" cy="264560"/>
    <xdr:sp macro="" textlink="">
      <xdr:nvSpPr>
        <xdr:cNvPr id="494" name="TextBox 493">
          <a:extLst>
            <a:ext uri="{FF2B5EF4-FFF2-40B4-BE49-F238E27FC236}">
              <a16:creationId xmlns:a16="http://schemas.microsoft.com/office/drawing/2014/main" id="{00000000-0008-0000-0100-0000EE010000}"/>
            </a:ext>
          </a:extLst>
        </xdr:cNvPr>
        <xdr:cNvSpPr txBox="1"/>
      </xdr:nvSpPr>
      <xdr:spPr>
        <a:xfrm>
          <a:off x="4933950"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0</xdr:rowOff>
    </xdr:from>
    <xdr:ext cx="184731" cy="264560"/>
    <xdr:sp macro="" textlink="">
      <xdr:nvSpPr>
        <xdr:cNvPr id="495" name="TextBox 494">
          <a:extLst>
            <a:ext uri="{FF2B5EF4-FFF2-40B4-BE49-F238E27FC236}">
              <a16:creationId xmlns:a16="http://schemas.microsoft.com/office/drawing/2014/main" id="{00000000-0008-0000-0100-0000EF010000}"/>
            </a:ext>
          </a:extLst>
        </xdr:cNvPr>
        <xdr:cNvSpPr txBox="1"/>
      </xdr:nvSpPr>
      <xdr:spPr>
        <a:xfrm>
          <a:off x="4933950" y="1838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53915</xdr:rowOff>
    </xdr:from>
    <xdr:ext cx="184731" cy="264560"/>
    <xdr:sp macro="" textlink="">
      <xdr:nvSpPr>
        <xdr:cNvPr id="496" name="TextBox 495">
          <a:extLst>
            <a:ext uri="{FF2B5EF4-FFF2-40B4-BE49-F238E27FC236}">
              <a16:creationId xmlns:a16="http://schemas.microsoft.com/office/drawing/2014/main" id="{00000000-0008-0000-0100-0000F0010000}"/>
            </a:ext>
          </a:extLst>
        </xdr:cNvPr>
        <xdr:cNvSpPr txBox="1"/>
      </xdr:nvSpPr>
      <xdr:spPr>
        <a:xfrm>
          <a:off x="4933950"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12</xdr:row>
      <xdr:rowOff>53915</xdr:rowOff>
    </xdr:from>
    <xdr:ext cx="184731" cy="264560"/>
    <xdr:sp macro="" textlink="">
      <xdr:nvSpPr>
        <xdr:cNvPr id="497" name="TextBox 496">
          <a:extLst>
            <a:ext uri="{FF2B5EF4-FFF2-40B4-BE49-F238E27FC236}">
              <a16:creationId xmlns:a16="http://schemas.microsoft.com/office/drawing/2014/main" id="{00000000-0008-0000-0100-0000F1010000}"/>
            </a:ext>
          </a:extLst>
        </xdr:cNvPr>
        <xdr:cNvSpPr txBox="1"/>
      </xdr:nvSpPr>
      <xdr:spPr>
        <a:xfrm>
          <a:off x="6075153"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12</xdr:row>
      <xdr:rowOff>53915</xdr:rowOff>
    </xdr:from>
    <xdr:ext cx="184731" cy="264560"/>
    <xdr:sp macro="" textlink="">
      <xdr:nvSpPr>
        <xdr:cNvPr id="498" name="TextBox 497">
          <a:extLst>
            <a:ext uri="{FF2B5EF4-FFF2-40B4-BE49-F238E27FC236}">
              <a16:creationId xmlns:a16="http://schemas.microsoft.com/office/drawing/2014/main" id="{00000000-0008-0000-0100-0000F2010000}"/>
            </a:ext>
          </a:extLst>
        </xdr:cNvPr>
        <xdr:cNvSpPr txBox="1"/>
      </xdr:nvSpPr>
      <xdr:spPr>
        <a:xfrm>
          <a:off x="6075153"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12</xdr:row>
      <xdr:rowOff>53915</xdr:rowOff>
    </xdr:from>
    <xdr:ext cx="184731" cy="264560"/>
    <xdr:sp macro="" textlink="">
      <xdr:nvSpPr>
        <xdr:cNvPr id="499" name="TextBox 498">
          <a:extLst>
            <a:ext uri="{FF2B5EF4-FFF2-40B4-BE49-F238E27FC236}">
              <a16:creationId xmlns:a16="http://schemas.microsoft.com/office/drawing/2014/main" id="{00000000-0008-0000-0100-0000F3010000}"/>
            </a:ext>
          </a:extLst>
        </xdr:cNvPr>
        <xdr:cNvSpPr txBox="1"/>
      </xdr:nvSpPr>
      <xdr:spPr>
        <a:xfrm>
          <a:off x="6075153"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12</xdr:row>
      <xdr:rowOff>0</xdr:rowOff>
    </xdr:from>
    <xdr:ext cx="184731" cy="264560"/>
    <xdr:sp macro="" textlink="">
      <xdr:nvSpPr>
        <xdr:cNvPr id="500" name="TextBox 499">
          <a:extLst>
            <a:ext uri="{FF2B5EF4-FFF2-40B4-BE49-F238E27FC236}">
              <a16:creationId xmlns:a16="http://schemas.microsoft.com/office/drawing/2014/main" id="{00000000-0008-0000-0100-0000F4010000}"/>
            </a:ext>
          </a:extLst>
        </xdr:cNvPr>
        <xdr:cNvSpPr txBox="1"/>
      </xdr:nvSpPr>
      <xdr:spPr>
        <a:xfrm>
          <a:off x="6075153" y="1838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12</xdr:row>
      <xdr:rowOff>53915</xdr:rowOff>
    </xdr:from>
    <xdr:ext cx="184731" cy="264560"/>
    <xdr:sp macro="" textlink="">
      <xdr:nvSpPr>
        <xdr:cNvPr id="501" name="TextBox 500">
          <a:extLst>
            <a:ext uri="{FF2B5EF4-FFF2-40B4-BE49-F238E27FC236}">
              <a16:creationId xmlns:a16="http://schemas.microsoft.com/office/drawing/2014/main" id="{00000000-0008-0000-0100-0000F5010000}"/>
            </a:ext>
          </a:extLst>
        </xdr:cNvPr>
        <xdr:cNvSpPr txBox="1"/>
      </xdr:nvSpPr>
      <xdr:spPr>
        <a:xfrm>
          <a:off x="6075153"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53915</xdr:rowOff>
    </xdr:from>
    <xdr:ext cx="184731" cy="264560"/>
    <xdr:sp macro="" textlink="">
      <xdr:nvSpPr>
        <xdr:cNvPr id="502" name="TextBox 501">
          <a:extLst>
            <a:ext uri="{FF2B5EF4-FFF2-40B4-BE49-F238E27FC236}">
              <a16:creationId xmlns:a16="http://schemas.microsoft.com/office/drawing/2014/main" id="{00000000-0008-0000-0100-0000F6010000}"/>
            </a:ext>
          </a:extLst>
        </xdr:cNvPr>
        <xdr:cNvSpPr txBox="1"/>
      </xdr:nvSpPr>
      <xdr:spPr>
        <a:xfrm>
          <a:off x="4933950"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53915</xdr:rowOff>
    </xdr:from>
    <xdr:ext cx="184731" cy="264560"/>
    <xdr:sp macro="" textlink="">
      <xdr:nvSpPr>
        <xdr:cNvPr id="503" name="TextBox 502">
          <a:extLst>
            <a:ext uri="{FF2B5EF4-FFF2-40B4-BE49-F238E27FC236}">
              <a16:creationId xmlns:a16="http://schemas.microsoft.com/office/drawing/2014/main" id="{00000000-0008-0000-0100-0000F7010000}"/>
            </a:ext>
          </a:extLst>
        </xdr:cNvPr>
        <xdr:cNvSpPr txBox="1"/>
      </xdr:nvSpPr>
      <xdr:spPr>
        <a:xfrm>
          <a:off x="4933950"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53915</xdr:rowOff>
    </xdr:from>
    <xdr:ext cx="184731" cy="264560"/>
    <xdr:sp macro="" textlink="">
      <xdr:nvSpPr>
        <xdr:cNvPr id="504" name="TextBox 503">
          <a:extLst>
            <a:ext uri="{FF2B5EF4-FFF2-40B4-BE49-F238E27FC236}">
              <a16:creationId xmlns:a16="http://schemas.microsoft.com/office/drawing/2014/main" id="{00000000-0008-0000-0100-0000F8010000}"/>
            </a:ext>
          </a:extLst>
        </xdr:cNvPr>
        <xdr:cNvSpPr txBox="1"/>
      </xdr:nvSpPr>
      <xdr:spPr>
        <a:xfrm>
          <a:off x="4933950"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0</xdr:rowOff>
    </xdr:from>
    <xdr:ext cx="184731" cy="264560"/>
    <xdr:sp macro="" textlink="">
      <xdr:nvSpPr>
        <xdr:cNvPr id="505" name="TextBox 504">
          <a:extLst>
            <a:ext uri="{FF2B5EF4-FFF2-40B4-BE49-F238E27FC236}">
              <a16:creationId xmlns:a16="http://schemas.microsoft.com/office/drawing/2014/main" id="{00000000-0008-0000-0100-0000F9010000}"/>
            </a:ext>
          </a:extLst>
        </xdr:cNvPr>
        <xdr:cNvSpPr txBox="1"/>
      </xdr:nvSpPr>
      <xdr:spPr>
        <a:xfrm>
          <a:off x="4933950" y="1838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0</xdr:colOff>
      <xdr:row>12</xdr:row>
      <xdr:rowOff>53915</xdr:rowOff>
    </xdr:from>
    <xdr:ext cx="184731" cy="264560"/>
    <xdr:sp macro="" textlink="">
      <xdr:nvSpPr>
        <xdr:cNvPr id="506" name="TextBox 505">
          <a:extLst>
            <a:ext uri="{FF2B5EF4-FFF2-40B4-BE49-F238E27FC236}">
              <a16:creationId xmlns:a16="http://schemas.microsoft.com/office/drawing/2014/main" id="{00000000-0008-0000-0100-0000FA010000}"/>
            </a:ext>
          </a:extLst>
        </xdr:cNvPr>
        <xdr:cNvSpPr txBox="1"/>
      </xdr:nvSpPr>
      <xdr:spPr>
        <a:xfrm>
          <a:off x="4933950"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12</xdr:row>
      <xdr:rowOff>53915</xdr:rowOff>
    </xdr:from>
    <xdr:ext cx="184731" cy="264560"/>
    <xdr:sp macro="" textlink="">
      <xdr:nvSpPr>
        <xdr:cNvPr id="507" name="TextBox 506">
          <a:extLst>
            <a:ext uri="{FF2B5EF4-FFF2-40B4-BE49-F238E27FC236}">
              <a16:creationId xmlns:a16="http://schemas.microsoft.com/office/drawing/2014/main" id="{00000000-0008-0000-0100-0000FB010000}"/>
            </a:ext>
          </a:extLst>
        </xdr:cNvPr>
        <xdr:cNvSpPr txBox="1"/>
      </xdr:nvSpPr>
      <xdr:spPr>
        <a:xfrm>
          <a:off x="6075153"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12</xdr:row>
      <xdr:rowOff>53915</xdr:rowOff>
    </xdr:from>
    <xdr:ext cx="184731" cy="264560"/>
    <xdr:sp macro="" textlink="">
      <xdr:nvSpPr>
        <xdr:cNvPr id="508" name="TextBox 507">
          <a:extLst>
            <a:ext uri="{FF2B5EF4-FFF2-40B4-BE49-F238E27FC236}">
              <a16:creationId xmlns:a16="http://schemas.microsoft.com/office/drawing/2014/main" id="{00000000-0008-0000-0100-0000FC010000}"/>
            </a:ext>
          </a:extLst>
        </xdr:cNvPr>
        <xdr:cNvSpPr txBox="1"/>
      </xdr:nvSpPr>
      <xdr:spPr>
        <a:xfrm>
          <a:off x="6075153"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12</xdr:row>
      <xdr:rowOff>53915</xdr:rowOff>
    </xdr:from>
    <xdr:ext cx="184731" cy="264560"/>
    <xdr:sp macro="" textlink="">
      <xdr:nvSpPr>
        <xdr:cNvPr id="509" name="TextBox 508">
          <a:extLst>
            <a:ext uri="{FF2B5EF4-FFF2-40B4-BE49-F238E27FC236}">
              <a16:creationId xmlns:a16="http://schemas.microsoft.com/office/drawing/2014/main" id="{00000000-0008-0000-0100-0000FD010000}"/>
            </a:ext>
          </a:extLst>
        </xdr:cNvPr>
        <xdr:cNvSpPr txBox="1"/>
      </xdr:nvSpPr>
      <xdr:spPr>
        <a:xfrm>
          <a:off x="6075153" y="189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12</xdr:row>
      <xdr:rowOff>0</xdr:rowOff>
    </xdr:from>
    <xdr:ext cx="184731" cy="264560"/>
    <xdr:sp macro="" textlink="">
      <xdr:nvSpPr>
        <xdr:cNvPr id="510" name="TextBox 509">
          <a:extLst>
            <a:ext uri="{FF2B5EF4-FFF2-40B4-BE49-F238E27FC236}">
              <a16:creationId xmlns:a16="http://schemas.microsoft.com/office/drawing/2014/main" id="{00000000-0008-0000-0100-0000FE010000}"/>
            </a:ext>
          </a:extLst>
        </xdr:cNvPr>
        <xdr:cNvSpPr txBox="1"/>
      </xdr:nvSpPr>
      <xdr:spPr>
        <a:xfrm>
          <a:off x="6075153" y="1838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15</xdr:row>
      <xdr:rowOff>53915</xdr:rowOff>
    </xdr:from>
    <xdr:ext cx="184731" cy="264560"/>
    <xdr:sp macro="" textlink="">
      <xdr:nvSpPr>
        <xdr:cNvPr id="512" name="TextBox 511">
          <a:extLst>
            <a:ext uri="{FF2B5EF4-FFF2-40B4-BE49-F238E27FC236}">
              <a16:creationId xmlns:a16="http://schemas.microsoft.com/office/drawing/2014/main" id="{00000000-0008-0000-0100-000000020000}"/>
            </a:ext>
          </a:extLst>
        </xdr:cNvPr>
        <xdr:cNvSpPr txBox="1"/>
      </xdr:nvSpPr>
      <xdr:spPr>
        <a:xfrm>
          <a:off x="6075153" y="24923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15</xdr:row>
      <xdr:rowOff>53915</xdr:rowOff>
    </xdr:from>
    <xdr:ext cx="184731" cy="264560"/>
    <xdr:sp macro="" textlink="">
      <xdr:nvSpPr>
        <xdr:cNvPr id="513" name="TextBox 512">
          <a:extLst>
            <a:ext uri="{FF2B5EF4-FFF2-40B4-BE49-F238E27FC236}">
              <a16:creationId xmlns:a16="http://schemas.microsoft.com/office/drawing/2014/main" id="{00000000-0008-0000-0100-000001020000}"/>
            </a:ext>
          </a:extLst>
        </xdr:cNvPr>
        <xdr:cNvSpPr txBox="1"/>
      </xdr:nvSpPr>
      <xdr:spPr>
        <a:xfrm>
          <a:off x="6075153" y="24923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15</xdr:row>
      <xdr:rowOff>53915</xdr:rowOff>
    </xdr:from>
    <xdr:ext cx="184731" cy="264560"/>
    <xdr:sp macro="" textlink="">
      <xdr:nvSpPr>
        <xdr:cNvPr id="514" name="TextBox 513">
          <a:extLst>
            <a:ext uri="{FF2B5EF4-FFF2-40B4-BE49-F238E27FC236}">
              <a16:creationId xmlns:a16="http://schemas.microsoft.com/office/drawing/2014/main" id="{00000000-0008-0000-0100-000002020000}"/>
            </a:ext>
          </a:extLst>
        </xdr:cNvPr>
        <xdr:cNvSpPr txBox="1"/>
      </xdr:nvSpPr>
      <xdr:spPr>
        <a:xfrm>
          <a:off x="6075153" y="24923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15</xdr:row>
      <xdr:rowOff>0</xdr:rowOff>
    </xdr:from>
    <xdr:ext cx="184731" cy="264560"/>
    <xdr:sp macro="" textlink="">
      <xdr:nvSpPr>
        <xdr:cNvPr id="515" name="TextBox 514">
          <a:extLst>
            <a:ext uri="{FF2B5EF4-FFF2-40B4-BE49-F238E27FC236}">
              <a16:creationId xmlns:a16="http://schemas.microsoft.com/office/drawing/2014/main" id="{00000000-0008-0000-0100-000003020000}"/>
            </a:ext>
          </a:extLst>
        </xdr:cNvPr>
        <xdr:cNvSpPr txBox="1"/>
      </xdr:nvSpPr>
      <xdr:spPr>
        <a:xfrm>
          <a:off x="6075153" y="243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15</xdr:row>
      <xdr:rowOff>53915</xdr:rowOff>
    </xdr:from>
    <xdr:ext cx="184731" cy="264560"/>
    <xdr:sp macro="" textlink="">
      <xdr:nvSpPr>
        <xdr:cNvPr id="516" name="TextBox 515">
          <a:extLst>
            <a:ext uri="{FF2B5EF4-FFF2-40B4-BE49-F238E27FC236}">
              <a16:creationId xmlns:a16="http://schemas.microsoft.com/office/drawing/2014/main" id="{00000000-0008-0000-0100-000004020000}"/>
            </a:ext>
          </a:extLst>
        </xdr:cNvPr>
        <xdr:cNvSpPr txBox="1"/>
      </xdr:nvSpPr>
      <xdr:spPr>
        <a:xfrm>
          <a:off x="6075153" y="24923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15</xdr:row>
      <xdr:rowOff>53915</xdr:rowOff>
    </xdr:from>
    <xdr:ext cx="184731" cy="264560"/>
    <xdr:sp macro="" textlink="">
      <xdr:nvSpPr>
        <xdr:cNvPr id="517" name="TextBox 516">
          <a:extLst>
            <a:ext uri="{FF2B5EF4-FFF2-40B4-BE49-F238E27FC236}">
              <a16:creationId xmlns:a16="http://schemas.microsoft.com/office/drawing/2014/main" id="{00000000-0008-0000-0100-000005020000}"/>
            </a:ext>
          </a:extLst>
        </xdr:cNvPr>
        <xdr:cNvSpPr txBox="1"/>
      </xdr:nvSpPr>
      <xdr:spPr>
        <a:xfrm>
          <a:off x="6075153" y="24923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15</xdr:row>
      <xdr:rowOff>53915</xdr:rowOff>
    </xdr:from>
    <xdr:ext cx="184731" cy="264560"/>
    <xdr:sp macro="" textlink="">
      <xdr:nvSpPr>
        <xdr:cNvPr id="518" name="TextBox 517">
          <a:extLst>
            <a:ext uri="{FF2B5EF4-FFF2-40B4-BE49-F238E27FC236}">
              <a16:creationId xmlns:a16="http://schemas.microsoft.com/office/drawing/2014/main" id="{00000000-0008-0000-0100-000006020000}"/>
            </a:ext>
          </a:extLst>
        </xdr:cNvPr>
        <xdr:cNvSpPr txBox="1"/>
      </xdr:nvSpPr>
      <xdr:spPr>
        <a:xfrm>
          <a:off x="6075153" y="24923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15</xdr:row>
      <xdr:rowOff>53915</xdr:rowOff>
    </xdr:from>
    <xdr:ext cx="184731" cy="264560"/>
    <xdr:sp macro="" textlink="">
      <xdr:nvSpPr>
        <xdr:cNvPr id="519" name="TextBox 518">
          <a:extLst>
            <a:ext uri="{FF2B5EF4-FFF2-40B4-BE49-F238E27FC236}">
              <a16:creationId xmlns:a16="http://schemas.microsoft.com/office/drawing/2014/main" id="{00000000-0008-0000-0100-000007020000}"/>
            </a:ext>
          </a:extLst>
        </xdr:cNvPr>
        <xdr:cNvSpPr txBox="1"/>
      </xdr:nvSpPr>
      <xdr:spPr>
        <a:xfrm>
          <a:off x="6075153" y="24923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15</xdr:row>
      <xdr:rowOff>0</xdr:rowOff>
    </xdr:from>
    <xdr:ext cx="184731" cy="264560"/>
    <xdr:sp macro="" textlink="">
      <xdr:nvSpPr>
        <xdr:cNvPr id="520" name="TextBox 519">
          <a:extLst>
            <a:ext uri="{FF2B5EF4-FFF2-40B4-BE49-F238E27FC236}">
              <a16:creationId xmlns:a16="http://schemas.microsoft.com/office/drawing/2014/main" id="{00000000-0008-0000-0100-000008020000}"/>
            </a:ext>
          </a:extLst>
        </xdr:cNvPr>
        <xdr:cNvSpPr txBox="1"/>
      </xdr:nvSpPr>
      <xdr:spPr>
        <a:xfrm>
          <a:off x="6075153" y="243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15</xdr:row>
      <xdr:rowOff>53915</xdr:rowOff>
    </xdr:from>
    <xdr:ext cx="184731" cy="264560"/>
    <xdr:sp macro="" textlink="">
      <xdr:nvSpPr>
        <xdr:cNvPr id="521" name="TextBox 520">
          <a:extLst>
            <a:ext uri="{FF2B5EF4-FFF2-40B4-BE49-F238E27FC236}">
              <a16:creationId xmlns:a16="http://schemas.microsoft.com/office/drawing/2014/main" id="{00000000-0008-0000-0100-000009020000}"/>
            </a:ext>
          </a:extLst>
        </xdr:cNvPr>
        <xdr:cNvSpPr txBox="1"/>
      </xdr:nvSpPr>
      <xdr:spPr>
        <a:xfrm>
          <a:off x="6075153" y="24923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15</xdr:row>
      <xdr:rowOff>53915</xdr:rowOff>
    </xdr:from>
    <xdr:ext cx="184731" cy="264560"/>
    <xdr:sp macro="" textlink="">
      <xdr:nvSpPr>
        <xdr:cNvPr id="522" name="TextBox 521">
          <a:extLst>
            <a:ext uri="{FF2B5EF4-FFF2-40B4-BE49-F238E27FC236}">
              <a16:creationId xmlns:a16="http://schemas.microsoft.com/office/drawing/2014/main" id="{00000000-0008-0000-0100-00000A020000}"/>
            </a:ext>
          </a:extLst>
        </xdr:cNvPr>
        <xdr:cNvSpPr txBox="1"/>
      </xdr:nvSpPr>
      <xdr:spPr>
        <a:xfrm>
          <a:off x="6075153" y="24923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15</xdr:row>
      <xdr:rowOff>53915</xdr:rowOff>
    </xdr:from>
    <xdr:ext cx="184731" cy="264560"/>
    <xdr:sp macro="" textlink="">
      <xdr:nvSpPr>
        <xdr:cNvPr id="523" name="TextBox 522">
          <a:extLst>
            <a:ext uri="{FF2B5EF4-FFF2-40B4-BE49-F238E27FC236}">
              <a16:creationId xmlns:a16="http://schemas.microsoft.com/office/drawing/2014/main" id="{00000000-0008-0000-0100-00000B020000}"/>
            </a:ext>
          </a:extLst>
        </xdr:cNvPr>
        <xdr:cNvSpPr txBox="1"/>
      </xdr:nvSpPr>
      <xdr:spPr>
        <a:xfrm>
          <a:off x="6075153" y="24923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15</xdr:row>
      <xdr:rowOff>53915</xdr:rowOff>
    </xdr:from>
    <xdr:ext cx="184731" cy="264560"/>
    <xdr:sp macro="" textlink="">
      <xdr:nvSpPr>
        <xdr:cNvPr id="524" name="TextBox 523">
          <a:extLst>
            <a:ext uri="{FF2B5EF4-FFF2-40B4-BE49-F238E27FC236}">
              <a16:creationId xmlns:a16="http://schemas.microsoft.com/office/drawing/2014/main" id="{00000000-0008-0000-0100-00000C020000}"/>
            </a:ext>
          </a:extLst>
        </xdr:cNvPr>
        <xdr:cNvSpPr txBox="1"/>
      </xdr:nvSpPr>
      <xdr:spPr>
        <a:xfrm>
          <a:off x="6075153" y="24923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15</xdr:row>
      <xdr:rowOff>0</xdr:rowOff>
    </xdr:from>
    <xdr:ext cx="184731" cy="264560"/>
    <xdr:sp macro="" textlink="">
      <xdr:nvSpPr>
        <xdr:cNvPr id="525" name="TextBox 524">
          <a:extLst>
            <a:ext uri="{FF2B5EF4-FFF2-40B4-BE49-F238E27FC236}">
              <a16:creationId xmlns:a16="http://schemas.microsoft.com/office/drawing/2014/main" id="{00000000-0008-0000-0100-00000D020000}"/>
            </a:ext>
          </a:extLst>
        </xdr:cNvPr>
        <xdr:cNvSpPr txBox="1"/>
      </xdr:nvSpPr>
      <xdr:spPr>
        <a:xfrm>
          <a:off x="6075153" y="243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15</xdr:row>
      <xdr:rowOff>53915</xdr:rowOff>
    </xdr:from>
    <xdr:ext cx="184731" cy="264560"/>
    <xdr:sp macro="" textlink="">
      <xdr:nvSpPr>
        <xdr:cNvPr id="526" name="TextBox 525">
          <a:extLst>
            <a:ext uri="{FF2B5EF4-FFF2-40B4-BE49-F238E27FC236}">
              <a16:creationId xmlns:a16="http://schemas.microsoft.com/office/drawing/2014/main" id="{00000000-0008-0000-0100-00000E020000}"/>
            </a:ext>
          </a:extLst>
        </xdr:cNvPr>
        <xdr:cNvSpPr txBox="1"/>
      </xdr:nvSpPr>
      <xdr:spPr>
        <a:xfrm>
          <a:off x="6075153" y="24923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15</xdr:row>
      <xdr:rowOff>53915</xdr:rowOff>
    </xdr:from>
    <xdr:ext cx="184731" cy="264560"/>
    <xdr:sp macro="" textlink="">
      <xdr:nvSpPr>
        <xdr:cNvPr id="527" name="TextBox 526">
          <a:extLst>
            <a:ext uri="{FF2B5EF4-FFF2-40B4-BE49-F238E27FC236}">
              <a16:creationId xmlns:a16="http://schemas.microsoft.com/office/drawing/2014/main" id="{00000000-0008-0000-0100-00000F020000}"/>
            </a:ext>
          </a:extLst>
        </xdr:cNvPr>
        <xdr:cNvSpPr txBox="1"/>
      </xdr:nvSpPr>
      <xdr:spPr>
        <a:xfrm>
          <a:off x="6075153" y="24923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15</xdr:row>
      <xdr:rowOff>53915</xdr:rowOff>
    </xdr:from>
    <xdr:ext cx="184731" cy="264560"/>
    <xdr:sp macro="" textlink="">
      <xdr:nvSpPr>
        <xdr:cNvPr id="528" name="TextBox 527">
          <a:extLst>
            <a:ext uri="{FF2B5EF4-FFF2-40B4-BE49-F238E27FC236}">
              <a16:creationId xmlns:a16="http://schemas.microsoft.com/office/drawing/2014/main" id="{00000000-0008-0000-0100-000010020000}"/>
            </a:ext>
          </a:extLst>
        </xdr:cNvPr>
        <xdr:cNvSpPr txBox="1"/>
      </xdr:nvSpPr>
      <xdr:spPr>
        <a:xfrm>
          <a:off x="6075153" y="24923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15</xdr:row>
      <xdr:rowOff>53915</xdr:rowOff>
    </xdr:from>
    <xdr:ext cx="184731" cy="264560"/>
    <xdr:sp macro="" textlink="">
      <xdr:nvSpPr>
        <xdr:cNvPr id="529" name="TextBox 528">
          <a:extLst>
            <a:ext uri="{FF2B5EF4-FFF2-40B4-BE49-F238E27FC236}">
              <a16:creationId xmlns:a16="http://schemas.microsoft.com/office/drawing/2014/main" id="{00000000-0008-0000-0100-000011020000}"/>
            </a:ext>
          </a:extLst>
        </xdr:cNvPr>
        <xdr:cNvSpPr txBox="1"/>
      </xdr:nvSpPr>
      <xdr:spPr>
        <a:xfrm>
          <a:off x="6075153" y="24923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15</xdr:row>
      <xdr:rowOff>0</xdr:rowOff>
    </xdr:from>
    <xdr:ext cx="184731" cy="264560"/>
    <xdr:sp macro="" textlink="">
      <xdr:nvSpPr>
        <xdr:cNvPr id="530" name="TextBox 529">
          <a:extLst>
            <a:ext uri="{FF2B5EF4-FFF2-40B4-BE49-F238E27FC236}">
              <a16:creationId xmlns:a16="http://schemas.microsoft.com/office/drawing/2014/main" id="{00000000-0008-0000-0100-000012020000}"/>
            </a:ext>
          </a:extLst>
        </xdr:cNvPr>
        <xdr:cNvSpPr txBox="1"/>
      </xdr:nvSpPr>
      <xdr:spPr>
        <a:xfrm>
          <a:off x="6075153" y="243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15</xdr:row>
      <xdr:rowOff>53915</xdr:rowOff>
    </xdr:from>
    <xdr:ext cx="184731" cy="264560"/>
    <xdr:sp macro="" textlink="">
      <xdr:nvSpPr>
        <xdr:cNvPr id="531" name="TextBox 530">
          <a:extLst>
            <a:ext uri="{FF2B5EF4-FFF2-40B4-BE49-F238E27FC236}">
              <a16:creationId xmlns:a16="http://schemas.microsoft.com/office/drawing/2014/main" id="{00000000-0008-0000-0100-000013020000}"/>
            </a:ext>
          </a:extLst>
        </xdr:cNvPr>
        <xdr:cNvSpPr txBox="1"/>
      </xdr:nvSpPr>
      <xdr:spPr>
        <a:xfrm>
          <a:off x="6075153" y="24923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15</xdr:row>
      <xdr:rowOff>53915</xdr:rowOff>
    </xdr:from>
    <xdr:ext cx="184731" cy="264560"/>
    <xdr:sp macro="" textlink="">
      <xdr:nvSpPr>
        <xdr:cNvPr id="532" name="TextBox 531">
          <a:extLst>
            <a:ext uri="{FF2B5EF4-FFF2-40B4-BE49-F238E27FC236}">
              <a16:creationId xmlns:a16="http://schemas.microsoft.com/office/drawing/2014/main" id="{00000000-0008-0000-0100-000014020000}"/>
            </a:ext>
          </a:extLst>
        </xdr:cNvPr>
        <xdr:cNvSpPr txBox="1"/>
      </xdr:nvSpPr>
      <xdr:spPr>
        <a:xfrm>
          <a:off x="6075153" y="24923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15</xdr:row>
      <xdr:rowOff>53915</xdr:rowOff>
    </xdr:from>
    <xdr:ext cx="184731" cy="264560"/>
    <xdr:sp macro="" textlink="">
      <xdr:nvSpPr>
        <xdr:cNvPr id="533" name="TextBox 532">
          <a:extLst>
            <a:ext uri="{FF2B5EF4-FFF2-40B4-BE49-F238E27FC236}">
              <a16:creationId xmlns:a16="http://schemas.microsoft.com/office/drawing/2014/main" id="{00000000-0008-0000-0100-000015020000}"/>
            </a:ext>
          </a:extLst>
        </xdr:cNvPr>
        <xdr:cNvSpPr txBox="1"/>
      </xdr:nvSpPr>
      <xdr:spPr>
        <a:xfrm>
          <a:off x="6075153" y="24923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15</xdr:row>
      <xdr:rowOff>53915</xdr:rowOff>
    </xdr:from>
    <xdr:ext cx="184731" cy="264560"/>
    <xdr:sp macro="" textlink="">
      <xdr:nvSpPr>
        <xdr:cNvPr id="534" name="TextBox 533">
          <a:extLst>
            <a:ext uri="{FF2B5EF4-FFF2-40B4-BE49-F238E27FC236}">
              <a16:creationId xmlns:a16="http://schemas.microsoft.com/office/drawing/2014/main" id="{00000000-0008-0000-0100-000016020000}"/>
            </a:ext>
          </a:extLst>
        </xdr:cNvPr>
        <xdr:cNvSpPr txBox="1"/>
      </xdr:nvSpPr>
      <xdr:spPr>
        <a:xfrm>
          <a:off x="6075153" y="24923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15</xdr:row>
      <xdr:rowOff>0</xdr:rowOff>
    </xdr:from>
    <xdr:ext cx="184731" cy="264560"/>
    <xdr:sp macro="" textlink="">
      <xdr:nvSpPr>
        <xdr:cNvPr id="535" name="TextBox 534">
          <a:extLst>
            <a:ext uri="{FF2B5EF4-FFF2-40B4-BE49-F238E27FC236}">
              <a16:creationId xmlns:a16="http://schemas.microsoft.com/office/drawing/2014/main" id="{00000000-0008-0000-0100-000017020000}"/>
            </a:ext>
          </a:extLst>
        </xdr:cNvPr>
        <xdr:cNvSpPr txBox="1"/>
      </xdr:nvSpPr>
      <xdr:spPr>
        <a:xfrm>
          <a:off x="6075153" y="243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15</xdr:row>
      <xdr:rowOff>53915</xdr:rowOff>
    </xdr:from>
    <xdr:ext cx="184731" cy="264560"/>
    <xdr:sp macro="" textlink="">
      <xdr:nvSpPr>
        <xdr:cNvPr id="536" name="TextBox 535">
          <a:extLst>
            <a:ext uri="{FF2B5EF4-FFF2-40B4-BE49-F238E27FC236}">
              <a16:creationId xmlns:a16="http://schemas.microsoft.com/office/drawing/2014/main" id="{00000000-0008-0000-0100-000018020000}"/>
            </a:ext>
          </a:extLst>
        </xdr:cNvPr>
        <xdr:cNvSpPr txBox="1"/>
      </xdr:nvSpPr>
      <xdr:spPr>
        <a:xfrm>
          <a:off x="6075153" y="24923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15</xdr:row>
      <xdr:rowOff>53915</xdr:rowOff>
    </xdr:from>
    <xdr:ext cx="184731" cy="264560"/>
    <xdr:sp macro="" textlink="">
      <xdr:nvSpPr>
        <xdr:cNvPr id="537" name="TextBox 536">
          <a:extLst>
            <a:ext uri="{FF2B5EF4-FFF2-40B4-BE49-F238E27FC236}">
              <a16:creationId xmlns:a16="http://schemas.microsoft.com/office/drawing/2014/main" id="{00000000-0008-0000-0100-000019020000}"/>
            </a:ext>
          </a:extLst>
        </xdr:cNvPr>
        <xdr:cNvSpPr txBox="1"/>
      </xdr:nvSpPr>
      <xdr:spPr>
        <a:xfrm>
          <a:off x="6075153" y="24923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15</xdr:row>
      <xdr:rowOff>53915</xdr:rowOff>
    </xdr:from>
    <xdr:ext cx="184731" cy="264560"/>
    <xdr:sp macro="" textlink="">
      <xdr:nvSpPr>
        <xdr:cNvPr id="538" name="TextBox 537">
          <a:extLst>
            <a:ext uri="{FF2B5EF4-FFF2-40B4-BE49-F238E27FC236}">
              <a16:creationId xmlns:a16="http://schemas.microsoft.com/office/drawing/2014/main" id="{00000000-0008-0000-0100-00001A020000}"/>
            </a:ext>
          </a:extLst>
        </xdr:cNvPr>
        <xdr:cNvSpPr txBox="1"/>
      </xdr:nvSpPr>
      <xdr:spPr>
        <a:xfrm>
          <a:off x="6075153" y="24923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15</xdr:row>
      <xdr:rowOff>53915</xdr:rowOff>
    </xdr:from>
    <xdr:ext cx="184731" cy="264560"/>
    <xdr:sp macro="" textlink="">
      <xdr:nvSpPr>
        <xdr:cNvPr id="539" name="TextBox 538">
          <a:extLst>
            <a:ext uri="{FF2B5EF4-FFF2-40B4-BE49-F238E27FC236}">
              <a16:creationId xmlns:a16="http://schemas.microsoft.com/office/drawing/2014/main" id="{00000000-0008-0000-0100-00001B020000}"/>
            </a:ext>
          </a:extLst>
        </xdr:cNvPr>
        <xdr:cNvSpPr txBox="1"/>
      </xdr:nvSpPr>
      <xdr:spPr>
        <a:xfrm>
          <a:off x="6075153" y="24923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15</xdr:row>
      <xdr:rowOff>0</xdr:rowOff>
    </xdr:from>
    <xdr:ext cx="184731" cy="264560"/>
    <xdr:sp macro="" textlink="">
      <xdr:nvSpPr>
        <xdr:cNvPr id="540" name="TextBox 539">
          <a:extLst>
            <a:ext uri="{FF2B5EF4-FFF2-40B4-BE49-F238E27FC236}">
              <a16:creationId xmlns:a16="http://schemas.microsoft.com/office/drawing/2014/main" id="{00000000-0008-0000-0100-00001C020000}"/>
            </a:ext>
          </a:extLst>
        </xdr:cNvPr>
        <xdr:cNvSpPr txBox="1"/>
      </xdr:nvSpPr>
      <xdr:spPr>
        <a:xfrm>
          <a:off x="6075153" y="243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oneCellAnchor>
    <xdr:from>
      <xdr:col>13</xdr:col>
      <xdr:colOff>1141203</xdr:colOff>
      <xdr:row>15</xdr:row>
      <xdr:rowOff>53915</xdr:rowOff>
    </xdr:from>
    <xdr:ext cx="184731" cy="264560"/>
    <xdr:sp macro="" textlink="">
      <xdr:nvSpPr>
        <xdr:cNvPr id="541" name="TextBox 540">
          <a:extLst>
            <a:ext uri="{FF2B5EF4-FFF2-40B4-BE49-F238E27FC236}">
              <a16:creationId xmlns:a16="http://schemas.microsoft.com/office/drawing/2014/main" id="{00000000-0008-0000-0100-00001D020000}"/>
            </a:ext>
          </a:extLst>
        </xdr:cNvPr>
        <xdr:cNvSpPr txBox="1"/>
      </xdr:nvSpPr>
      <xdr:spPr>
        <a:xfrm>
          <a:off x="6075153" y="24923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26</xdr:col>
      <xdr:colOff>0</xdr:colOff>
      <xdr:row>26</xdr:row>
      <xdr:rowOff>0</xdr:rowOff>
    </xdr:from>
    <xdr:ext cx="190500" cy="266700"/>
    <xdr:sp macro="" textlink="">
      <xdr:nvSpPr>
        <xdr:cNvPr id="2" name="Shape 4">
          <a:extLst>
            <a:ext uri="{FF2B5EF4-FFF2-40B4-BE49-F238E27FC236}">
              <a16:creationId xmlns:a16="http://schemas.microsoft.com/office/drawing/2014/main" id="{7748F3C1-C7B6-4DED-9269-8771C9B7FD4B}"/>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3" name="Shape 4">
          <a:extLst>
            <a:ext uri="{FF2B5EF4-FFF2-40B4-BE49-F238E27FC236}">
              <a16:creationId xmlns:a16="http://schemas.microsoft.com/office/drawing/2014/main" id="{A22A5A86-DEE0-4527-80FE-7F56F896FA82}"/>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4" name="Shape 4">
          <a:extLst>
            <a:ext uri="{FF2B5EF4-FFF2-40B4-BE49-F238E27FC236}">
              <a16:creationId xmlns:a16="http://schemas.microsoft.com/office/drawing/2014/main" id="{FACD35AC-0BA6-4709-8DF2-69AC20A79693}"/>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5" name="Shape 4">
          <a:extLst>
            <a:ext uri="{FF2B5EF4-FFF2-40B4-BE49-F238E27FC236}">
              <a16:creationId xmlns:a16="http://schemas.microsoft.com/office/drawing/2014/main" id="{8EE42749-C6AE-4822-B7C5-E429C7898F01}"/>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6" name="Shape 4">
          <a:extLst>
            <a:ext uri="{FF2B5EF4-FFF2-40B4-BE49-F238E27FC236}">
              <a16:creationId xmlns:a16="http://schemas.microsoft.com/office/drawing/2014/main" id="{C7309F08-9260-43BC-89E7-753B03ACFFDB}"/>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7" name="Shape 4">
          <a:extLst>
            <a:ext uri="{FF2B5EF4-FFF2-40B4-BE49-F238E27FC236}">
              <a16:creationId xmlns:a16="http://schemas.microsoft.com/office/drawing/2014/main" id="{7F7AF696-A7E0-4E2E-8E88-9B0A0C7AEF9C}"/>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8" name="Shape 4">
          <a:extLst>
            <a:ext uri="{FF2B5EF4-FFF2-40B4-BE49-F238E27FC236}">
              <a16:creationId xmlns:a16="http://schemas.microsoft.com/office/drawing/2014/main" id="{73290238-AF70-41EA-B698-B9318511B7BF}"/>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9" name="Shape 4">
          <a:extLst>
            <a:ext uri="{FF2B5EF4-FFF2-40B4-BE49-F238E27FC236}">
              <a16:creationId xmlns:a16="http://schemas.microsoft.com/office/drawing/2014/main" id="{E2A28FB8-D1F2-4A8C-BD79-EF2E2C7BBB0E}"/>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10" name="Shape 4">
          <a:extLst>
            <a:ext uri="{FF2B5EF4-FFF2-40B4-BE49-F238E27FC236}">
              <a16:creationId xmlns:a16="http://schemas.microsoft.com/office/drawing/2014/main" id="{4C7D9D5D-9F8A-4FED-AFAA-614A24533078}"/>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11" name="Shape 4">
          <a:extLst>
            <a:ext uri="{FF2B5EF4-FFF2-40B4-BE49-F238E27FC236}">
              <a16:creationId xmlns:a16="http://schemas.microsoft.com/office/drawing/2014/main" id="{FD4479A0-A2D4-48C7-B767-F6E857C3658B}"/>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12" name="Shape 4">
          <a:extLst>
            <a:ext uri="{FF2B5EF4-FFF2-40B4-BE49-F238E27FC236}">
              <a16:creationId xmlns:a16="http://schemas.microsoft.com/office/drawing/2014/main" id="{666D2F70-0279-4268-BA12-AED797759F30}"/>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13" name="Shape 4">
          <a:extLst>
            <a:ext uri="{FF2B5EF4-FFF2-40B4-BE49-F238E27FC236}">
              <a16:creationId xmlns:a16="http://schemas.microsoft.com/office/drawing/2014/main" id="{8F93AFEE-DF50-4F30-AEA0-B58367246416}"/>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14" name="Shape 4">
          <a:extLst>
            <a:ext uri="{FF2B5EF4-FFF2-40B4-BE49-F238E27FC236}">
              <a16:creationId xmlns:a16="http://schemas.microsoft.com/office/drawing/2014/main" id="{EAA1F8B1-2E9A-4047-A504-3631410A6035}"/>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15" name="Shape 4">
          <a:extLst>
            <a:ext uri="{FF2B5EF4-FFF2-40B4-BE49-F238E27FC236}">
              <a16:creationId xmlns:a16="http://schemas.microsoft.com/office/drawing/2014/main" id="{BADE75E0-D658-4459-8A5A-266EAA1D97A0}"/>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16" name="Shape 4">
          <a:extLst>
            <a:ext uri="{FF2B5EF4-FFF2-40B4-BE49-F238E27FC236}">
              <a16:creationId xmlns:a16="http://schemas.microsoft.com/office/drawing/2014/main" id="{18E1E187-50B7-4E59-9444-8F3A66D1FD18}"/>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17" name="Shape 4">
          <a:extLst>
            <a:ext uri="{FF2B5EF4-FFF2-40B4-BE49-F238E27FC236}">
              <a16:creationId xmlns:a16="http://schemas.microsoft.com/office/drawing/2014/main" id="{7AB9FD7E-9062-4903-B52B-1F8E985E4C7F}"/>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18" name="Shape 4">
          <a:extLst>
            <a:ext uri="{FF2B5EF4-FFF2-40B4-BE49-F238E27FC236}">
              <a16:creationId xmlns:a16="http://schemas.microsoft.com/office/drawing/2014/main" id="{7444C7AB-5A7B-41EB-AF16-B33C94F362A8}"/>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19" name="Shape 4">
          <a:extLst>
            <a:ext uri="{FF2B5EF4-FFF2-40B4-BE49-F238E27FC236}">
              <a16:creationId xmlns:a16="http://schemas.microsoft.com/office/drawing/2014/main" id="{86808D7A-65C3-4E63-B84E-B68917C79DF4}"/>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20" name="Shape 4">
          <a:extLst>
            <a:ext uri="{FF2B5EF4-FFF2-40B4-BE49-F238E27FC236}">
              <a16:creationId xmlns:a16="http://schemas.microsoft.com/office/drawing/2014/main" id="{0EC5AB52-8A36-4C67-8E88-4B47910FF64E}"/>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21" name="Shape 4">
          <a:extLst>
            <a:ext uri="{FF2B5EF4-FFF2-40B4-BE49-F238E27FC236}">
              <a16:creationId xmlns:a16="http://schemas.microsoft.com/office/drawing/2014/main" id="{6F2735B4-3AD4-448E-BD88-B66B51E9CB01}"/>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22" name="Shape 4">
          <a:extLst>
            <a:ext uri="{FF2B5EF4-FFF2-40B4-BE49-F238E27FC236}">
              <a16:creationId xmlns:a16="http://schemas.microsoft.com/office/drawing/2014/main" id="{6BD3E8FA-4D02-4744-AD79-C048FCAD6DC4}"/>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23" name="Shape 4">
          <a:extLst>
            <a:ext uri="{FF2B5EF4-FFF2-40B4-BE49-F238E27FC236}">
              <a16:creationId xmlns:a16="http://schemas.microsoft.com/office/drawing/2014/main" id="{BB79A03B-644E-4B51-BE84-772EF5836648}"/>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24" name="Shape 4">
          <a:extLst>
            <a:ext uri="{FF2B5EF4-FFF2-40B4-BE49-F238E27FC236}">
              <a16:creationId xmlns:a16="http://schemas.microsoft.com/office/drawing/2014/main" id="{5D29427E-AD98-444D-B017-E7F28FEC0021}"/>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25" name="Shape 4">
          <a:extLst>
            <a:ext uri="{FF2B5EF4-FFF2-40B4-BE49-F238E27FC236}">
              <a16:creationId xmlns:a16="http://schemas.microsoft.com/office/drawing/2014/main" id="{4596B1F8-C13F-4F99-89F8-EE700BAB9B25}"/>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26" name="Shape 4">
          <a:extLst>
            <a:ext uri="{FF2B5EF4-FFF2-40B4-BE49-F238E27FC236}">
              <a16:creationId xmlns:a16="http://schemas.microsoft.com/office/drawing/2014/main" id="{90DCB25D-1242-4731-BA9D-1FE1846CDC6B}"/>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27" name="Shape 4">
          <a:extLst>
            <a:ext uri="{FF2B5EF4-FFF2-40B4-BE49-F238E27FC236}">
              <a16:creationId xmlns:a16="http://schemas.microsoft.com/office/drawing/2014/main" id="{620288E3-C092-41B5-A490-CAF17CEC5EFF}"/>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28" name="Shape 4">
          <a:extLst>
            <a:ext uri="{FF2B5EF4-FFF2-40B4-BE49-F238E27FC236}">
              <a16:creationId xmlns:a16="http://schemas.microsoft.com/office/drawing/2014/main" id="{D0AAF331-A9D6-4D3B-8112-335E8403080A}"/>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29" name="Shape 4">
          <a:extLst>
            <a:ext uri="{FF2B5EF4-FFF2-40B4-BE49-F238E27FC236}">
              <a16:creationId xmlns:a16="http://schemas.microsoft.com/office/drawing/2014/main" id="{3E07CEE3-521C-486B-BFFE-F1237A37597F}"/>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30" name="Shape 4">
          <a:extLst>
            <a:ext uri="{FF2B5EF4-FFF2-40B4-BE49-F238E27FC236}">
              <a16:creationId xmlns:a16="http://schemas.microsoft.com/office/drawing/2014/main" id="{58F13266-B35F-4AF2-8FB2-E623907AB35F}"/>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31" name="Shape 4">
          <a:extLst>
            <a:ext uri="{FF2B5EF4-FFF2-40B4-BE49-F238E27FC236}">
              <a16:creationId xmlns:a16="http://schemas.microsoft.com/office/drawing/2014/main" id="{BF792786-6787-40C6-B356-5DA8FA301DFD}"/>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32" name="Shape 4">
          <a:extLst>
            <a:ext uri="{FF2B5EF4-FFF2-40B4-BE49-F238E27FC236}">
              <a16:creationId xmlns:a16="http://schemas.microsoft.com/office/drawing/2014/main" id="{77262338-9F39-4257-9F11-79111A6F14F9}"/>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33" name="Shape 4">
          <a:extLst>
            <a:ext uri="{FF2B5EF4-FFF2-40B4-BE49-F238E27FC236}">
              <a16:creationId xmlns:a16="http://schemas.microsoft.com/office/drawing/2014/main" id="{FA392DB4-DF64-4EC9-8F87-5A8350B8FE2F}"/>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34" name="Shape 4">
          <a:extLst>
            <a:ext uri="{FF2B5EF4-FFF2-40B4-BE49-F238E27FC236}">
              <a16:creationId xmlns:a16="http://schemas.microsoft.com/office/drawing/2014/main" id="{E66FEDEC-B23E-4E13-92BD-14BDDF7D1FD8}"/>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35" name="Shape 4">
          <a:extLst>
            <a:ext uri="{FF2B5EF4-FFF2-40B4-BE49-F238E27FC236}">
              <a16:creationId xmlns:a16="http://schemas.microsoft.com/office/drawing/2014/main" id="{2BB5699B-3DE8-4806-BFCE-EF3F14A1C6E7}"/>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36" name="Shape 4">
          <a:extLst>
            <a:ext uri="{FF2B5EF4-FFF2-40B4-BE49-F238E27FC236}">
              <a16:creationId xmlns:a16="http://schemas.microsoft.com/office/drawing/2014/main" id="{EDABE27C-2AEA-4BC3-8DF3-70D29762FE5E}"/>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37" name="Shape 4">
          <a:extLst>
            <a:ext uri="{FF2B5EF4-FFF2-40B4-BE49-F238E27FC236}">
              <a16:creationId xmlns:a16="http://schemas.microsoft.com/office/drawing/2014/main" id="{57A36A00-C0DD-4B3E-9206-106ECAA0184B}"/>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38" name="Shape 4">
          <a:extLst>
            <a:ext uri="{FF2B5EF4-FFF2-40B4-BE49-F238E27FC236}">
              <a16:creationId xmlns:a16="http://schemas.microsoft.com/office/drawing/2014/main" id="{E50A6B94-70F3-46FB-9DD0-A41BBE80D47C}"/>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39" name="Shape 4">
          <a:extLst>
            <a:ext uri="{FF2B5EF4-FFF2-40B4-BE49-F238E27FC236}">
              <a16:creationId xmlns:a16="http://schemas.microsoft.com/office/drawing/2014/main" id="{B440DF61-5840-4AFC-8B07-427556BC4A99}"/>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40" name="Shape 4">
          <a:extLst>
            <a:ext uri="{FF2B5EF4-FFF2-40B4-BE49-F238E27FC236}">
              <a16:creationId xmlns:a16="http://schemas.microsoft.com/office/drawing/2014/main" id="{2002D7DA-BB80-4C30-8F5E-C6E48D4ED22E}"/>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41" name="Shape 4">
          <a:extLst>
            <a:ext uri="{FF2B5EF4-FFF2-40B4-BE49-F238E27FC236}">
              <a16:creationId xmlns:a16="http://schemas.microsoft.com/office/drawing/2014/main" id="{65515A24-BFD6-4E44-B350-58EF341901D7}"/>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42" name="Shape 4">
          <a:extLst>
            <a:ext uri="{FF2B5EF4-FFF2-40B4-BE49-F238E27FC236}">
              <a16:creationId xmlns:a16="http://schemas.microsoft.com/office/drawing/2014/main" id="{9D3BCC32-054F-44FB-B2DC-55C0FA50CCE4}"/>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43" name="Shape 4">
          <a:extLst>
            <a:ext uri="{FF2B5EF4-FFF2-40B4-BE49-F238E27FC236}">
              <a16:creationId xmlns:a16="http://schemas.microsoft.com/office/drawing/2014/main" id="{771E1757-559E-46A4-AE80-3373A82DC5E5}"/>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44" name="Shape 4">
          <a:extLst>
            <a:ext uri="{FF2B5EF4-FFF2-40B4-BE49-F238E27FC236}">
              <a16:creationId xmlns:a16="http://schemas.microsoft.com/office/drawing/2014/main" id="{7C76E3FE-9670-4B2F-A16F-DD4A591846D8}"/>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45" name="Shape 4">
          <a:extLst>
            <a:ext uri="{FF2B5EF4-FFF2-40B4-BE49-F238E27FC236}">
              <a16:creationId xmlns:a16="http://schemas.microsoft.com/office/drawing/2014/main" id="{6BD2DB04-C10B-40D2-BC49-5F66FBAD4F14}"/>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46" name="Shape 4">
          <a:extLst>
            <a:ext uri="{FF2B5EF4-FFF2-40B4-BE49-F238E27FC236}">
              <a16:creationId xmlns:a16="http://schemas.microsoft.com/office/drawing/2014/main" id="{C551831D-CF86-4ED8-9B91-1C196B744C14}"/>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47" name="Shape 4">
          <a:extLst>
            <a:ext uri="{FF2B5EF4-FFF2-40B4-BE49-F238E27FC236}">
              <a16:creationId xmlns:a16="http://schemas.microsoft.com/office/drawing/2014/main" id="{E2F014B0-EF65-4240-A1E4-A46BCB483B3A}"/>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48" name="Shape 4">
          <a:extLst>
            <a:ext uri="{FF2B5EF4-FFF2-40B4-BE49-F238E27FC236}">
              <a16:creationId xmlns:a16="http://schemas.microsoft.com/office/drawing/2014/main" id="{99C0673C-06C0-4F49-82A0-367B9818FE7F}"/>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49" name="Shape 4">
          <a:extLst>
            <a:ext uri="{FF2B5EF4-FFF2-40B4-BE49-F238E27FC236}">
              <a16:creationId xmlns:a16="http://schemas.microsoft.com/office/drawing/2014/main" id="{6B359E5A-68FC-4140-B513-E9749524C919}"/>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50" name="Shape 4">
          <a:extLst>
            <a:ext uri="{FF2B5EF4-FFF2-40B4-BE49-F238E27FC236}">
              <a16:creationId xmlns:a16="http://schemas.microsoft.com/office/drawing/2014/main" id="{2F70076D-726C-4DB8-AFBF-07FEA4DF64BA}"/>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51" name="Shape 4">
          <a:extLst>
            <a:ext uri="{FF2B5EF4-FFF2-40B4-BE49-F238E27FC236}">
              <a16:creationId xmlns:a16="http://schemas.microsoft.com/office/drawing/2014/main" id="{30B22265-132F-491C-8E8F-9B0323AD7608}"/>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52" name="Shape 4">
          <a:extLst>
            <a:ext uri="{FF2B5EF4-FFF2-40B4-BE49-F238E27FC236}">
              <a16:creationId xmlns:a16="http://schemas.microsoft.com/office/drawing/2014/main" id="{223053A3-CBA5-4373-ACB5-B52D1D3E6B3D}"/>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53" name="Shape 4">
          <a:extLst>
            <a:ext uri="{FF2B5EF4-FFF2-40B4-BE49-F238E27FC236}">
              <a16:creationId xmlns:a16="http://schemas.microsoft.com/office/drawing/2014/main" id="{BD1F6C65-585F-4C10-B275-DBEF1E0D2246}"/>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54" name="Shape 4">
          <a:extLst>
            <a:ext uri="{FF2B5EF4-FFF2-40B4-BE49-F238E27FC236}">
              <a16:creationId xmlns:a16="http://schemas.microsoft.com/office/drawing/2014/main" id="{49119A60-D8C4-4DA5-B4F6-83B0288915CD}"/>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55" name="Shape 4">
          <a:extLst>
            <a:ext uri="{FF2B5EF4-FFF2-40B4-BE49-F238E27FC236}">
              <a16:creationId xmlns:a16="http://schemas.microsoft.com/office/drawing/2014/main" id="{909E826D-A713-4480-A303-578E711B8F56}"/>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56" name="Shape 4">
          <a:extLst>
            <a:ext uri="{FF2B5EF4-FFF2-40B4-BE49-F238E27FC236}">
              <a16:creationId xmlns:a16="http://schemas.microsoft.com/office/drawing/2014/main" id="{CC49703F-846D-47A9-A492-922F496C4804}"/>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57" name="Shape 4">
          <a:extLst>
            <a:ext uri="{FF2B5EF4-FFF2-40B4-BE49-F238E27FC236}">
              <a16:creationId xmlns:a16="http://schemas.microsoft.com/office/drawing/2014/main" id="{8FE20C9E-FDBB-46D5-AF01-0522B5FEEFCD}"/>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58" name="Shape 4">
          <a:extLst>
            <a:ext uri="{FF2B5EF4-FFF2-40B4-BE49-F238E27FC236}">
              <a16:creationId xmlns:a16="http://schemas.microsoft.com/office/drawing/2014/main" id="{83A68715-77AE-4ED9-8E08-AB9C77412A60}"/>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59" name="Shape 4">
          <a:extLst>
            <a:ext uri="{FF2B5EF4-FFF2-40B4-BE49-F238E27FC236}">
              <a16:creationId xmlns:a16="http://schemas.microsoft.com/office/drawing/2014/main" id="{46BABCEC-B3AD-43B7-A980-8033E82EA419}"/>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60" name="Shape 4">
          <a:extLst>
            <a:ext uri="{FF2B5EF4-FFF2-40B4-BE49-F238E27FC236}">
              <a16:creationId xmlns:a16="http://schemas.microsoft.com/office/drawing/2014/main" id="{25342610-63FA-46DE-8073-836DE1B199BA}"/>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61" name="Shape 4">
          <a:extLst>
            <a:ext uri="{FF2B5EF4-FFF2-40B4-BE49-F238E27FC236}">
              <a16:creationId xmlns:a16="http://schemas.microsoft.com/office/drawing/2014/main" id="{47A9FA2E-DFE6-45BA-9834-CD979BA07C45}"/>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62" name="Shape 4">
          <a:extLst>
            <a:ext uri="{FF2B5EF4-FFF2-40B4-BE49-F238E27FC236}">
              <a16:creationId xmlns:a16="http://schemas.microsoft.com/office/drawing/2014/main" id="{2976E7FA-83E9-4061-A747-E82527EE6963}"/>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63" name="Shape 4">
          <a:extLst>
            <a:ext uri="{FF2B5EF4-FFF2-40B4-BE49-F238E27FC236}">
              <a16:creationId xmlns:a16="http://schemas.microsoft.com/office/drawing/2014/main" id="{CA9A287A-1714-46BF-9B92-C5F1489A85D2}"/>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64" name="Shape 4">
          <a:extLst>
            <a:ext uri="{FF2B5EF4-FFF2-40B4-BE49-F238E27FC236}">
              <a16:creationId xmlns:a16="http://schemas.microsoft.com/office/drawing/2014/main" id="{85B29D38-8FE9-44E0-A27F-FA6C9BC0A276}"/>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65" name="Shape 4">
          <a:extLst>
            <a:ext uri="{FF2B5EF4-FFF2-40B4-BE49-F238E27FC236}">
              <a16:creationId xmlns:a16="http://schemas.microsoft.com/office/drawing/2014/main" id="{1E4C8303-B4F7-4163-BC6D-EC43FD893788}"/>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66" name="Shape 4">
          <a:extLst>
            <a:ext uri="{FF2B5EF4-FFF2-40B4-BE49-F238E27FC236}">
              <a16:creationId xmlns:a16="http://schemas.microsoft.com/office/drawing/2014/main" id="{E84E9B19-3879-4A26-8741-C04A19BF668E}"/>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67" name="Shape 4">
          <a:extLst>
            <a:ext uri="{FF2B5EF4-FFF2-40B4-BE49-F238E27FC236}">
              <a16:creationId xmlns:a16="http://schemas.microsoft.com/office/drawing/2014/main" id="{7DC388F6-6FB2-47D5-8048-2B028C912C3B}"/>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68" name="Shape 4">
          <a:extLst>
            <a:ext uri="{FF2B5EF4-FFF2-40B4-BE49-F238E27FC236}">
              <a16:creationId xmlns:a16="http://schemas.microsoft.com/office/drawing/2014/main" id="{224C7597-37C2-4792-BFB6-636558070FDC}"/>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69" name="Shape 4">
          <a:extLst>
            <a:ext uri="{FF2B5EF4-FFF2-40B4-BE49-F238E27FC236}">
              <a16:creationId xmlns:a16="http://schemas.microsoft.com/office/drawing/2014/main" id="{E3B939CA-64D3-41AD-9E46-8F79AF35CC8F}"/>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70" name="Shape 4">
          <a:extLst>
            <a:ext uri="{FF2B5EF4-FFF2-40B4-BE49-F238E27FC236}">
              <a16:creationId xmlns:a16="http://schemas.microsoft.com/office/drawing/2014/main" id="{635837BB-1A1D-4C98-B5A9-2B341542671B}"/>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71" name="Shape 4">
          <a:extLst>
            <a:ext uri="{FF2B5EF4-FFF2-40B4-BE49-F238E27FC236}">
              <a16:creationId xmlns:a16="http://schemas.microsoft.com/office/drawing/2014/main" id="{95DD37F5-7EDC-4528-B936-40FEA940CC56}"/>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72" name="Shape 4">
          <a:extLst>
            <a:ext uri="{FF2B5EF4-FFF2-40B4-BE49-F238E27FC236}">
              <a16:creationId xmlns:a16="http://schemas.microsoft.com/office/drawing/2014/main" id="{7BF7E0D8-3C72-41FA-993D-62C31027B6BD}"/>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73" name="Shape 4">
          <a:extLst>
            <a:ext uri="{FF2B5EF4-FFF2-40B4-BE49-F238E27FC236}">
              <a16:creationId xmlns:a16="http://schemas.microsoft.com/office/drawing/2014/main" id="{9E7D6656-E3F7-4EF1-A673-AED1B91A962E}"/>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74" name="Shape 4">
          <a:extLst>
            <a:ext uri="{FF2B5EF4-FFF2-40B4-BE49-F238E27FC236}">
              <a16:creationId xmlns:a16="http://schemas.microsoft.com/office/drawing/2014/main" id="{5A852B28-66B7-4080-85A6-F24EA8B57F37}"/>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75" name="Shape 4">
          <a:extLst>
            <a:ext uri="{FF2B5EF4-FFF2-40B4-BE49-F238E27FC236}">
              <a16:creationId xmlns:a16="http://schemas.microsoft.com/office/drawing/2014/main" id="{F1445862-7386-424B-B779-792368479BB8}"/>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76" name="Shape 4">
          <a:extLst>
            <a:ext uri="{FF2B5EF4-FFF2-40B4-BE49-F238E27FC236}">
              <a16:creationId xmlns:a16="http://schemas.microsoft.com/office/drawing/2014/main" id="{B2E4A72E-E1DF-4B01-A183-01CA98BB41EE}"/>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77" name="Shape 4">
          <a:extLst>
            <a:ext uri="{FF2B5EF4-FFF2-40B4-BE49-F238E27FC236}">
              <a16:creationId xmlns:a16="http://schemas.microsoft.com/office/drawing/2014/main" id="{7BE079DA-FAB1-41AA-BCDD-F9BA4CA4E6B6}"/>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78" name="Shape 4">
          <a:extLst>
            <a:ext uri="{FF2B5EF4-FFF2-40B4-BE49-F238E27FC236}">
              <a16:creationId xmlns:a16="http://schemas.microsoft.com/office/drawing/2014/main" id="{0435F921-4873-48C9-B0CF-EC96650E246F}"/>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79" name="Shape 4">
          <a:extLst>
            <a:ext uri="{FF2B5EF4-FFF2-40B4-BE49-F238E27FC236}">
              <a16:creationId xmlns:a16="http://schemas.microsoft.com/office/drawing/2014/main" id="{43AA3F7D-B417-46C1-8E97-52E0BC8B8CBB}"/>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80" name="Shape 4">
          <a:extLst>
            <a:ext uri="{FF2B5EF4-FFF2-40B4-BE49-F238E27FC236}">
              <a16:creationId xmlns:a16="http://schemas.microsoft.com/office/drawing/2014/main" id="{BFA5C8BA-F860-498F-92DF-387788696C5B}"/>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81" name="Shape 4">
          <a:extLst>
            <a:ext uri="{FF2B5EF4-FFF2-40B4-BE49-F238E27FC236}">
              <a16:creationId xmlns:a16="http://schemas.microsoft.com/office/drawing/2014/main" id="{5A0F5551-508C-4399-915B-56A7E803DE17}"/>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82" name="Shape 4">
          <a:extLst>
            <a:ext uri="{FF2B5EF4-FFF2-40B4-BE49-F238E27FC236}">
              <a16:creationId xmlns:a16="http://schemas.microsoft.com/office/drawing/2014/main" id="{9B8B3426-32BD-4EC1-B3AF-8E7E35CBAABB}"/>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83" name="Shape 4">
          <a:extLst>
            <a:ext uri="{FF2B5EF4-FFF2-40B4-BE49-F238E27FC236}">
              <a16:creationId xmlns:a16="http://schemas.microsoft.com/office/drawing/2014/main" id="{08623A17-4BFF-499E-A74E-BA671A6B0741}"/>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84" name="Shape 4">
          <a:extLst>
            <a:ext uri="{FF2B5EF4-FFF2-40B4-BE49-F238E27FC236}">
              <a16:creationId xmlns:a16="http://schemas.microsoft.com/office/drawing/2014/main" id="{D9FA4FDD-3837-42A8-BF46-810950292666}"/>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85" name="Shape 4">
          <a:extLst>
            <a:ext uri="{FF2B5EF4-FFF2-40B4-BE49-F238E27FC236}">
              <a16:creationId xmlns:a16="http://schemas.microsoft.com/office/drawing/2014/main" id="{3550E4CD-7C7B-4E59-A41E-8974FD195F69}"/>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86" name="Shape 4">
          <a:extLst>
            <a:ext uri="{FF2B5EF4-FFF2-40B4-BE49-F238E27FC236}">
              <a16:creationId xmlns:a16="http://schemas.microsoft.com/office/drawing/2014/main" id="{5A11D087-2C37-4CF9-ACFD-7765022E3C78}"/>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87" name="Shape 4">
          <a:extLst>
            <a:ext uri="{FF2B5EF4-FFF2-40B4-BE49-F238E27FC236}">
              <a16:creationId xmlns:a16="http://schemas.microsoft.com/office/drawing/2014/main" id="{6870C75B-199D-4F23-9F88-FBEDF83980BC}"/>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88" name="Shape 4">
          <a:extLst>
            <a:ext uri="{FF2B5EF4-FFF2-40B4-BE49-F238E27FC236}">
              <a16:creationId xmlns:a16="http://schemas.microsoft.com/office/drawing/2014/main" id="{3474B606-A2D6-4B43-8B3F-BEA5554C7022}"/>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89" name="Shape 4">
          <a:extLst>
            <a:ext uri="{FF2B5EF4-FFF2-40B4-BE49-F238E27FC236}">
              <a16:creationId xmlns:a16="http://schemas.microsoft.com/office/drawing/2014/main" id="{1661D85D-57AF-4B04-8DB3-2FFD02492BE7}"/>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90" name="Shape 4">
          <a:extLst>
            <a:ext uri="{FF2B5EF4-FFF2-40B4-BE49-F238E27FC236}">
              <a16:creationId xmlns:a16="http://schemas.microsoft.com/office/drawing/2014/main" id="{5665346A-B6FB-4210-AFB9-EA43ACEC9382}"/>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91" name="Shape 4">
          <a:extLst>
            <a:ext uri="{FF2B5EF4-FFF2-40B4-BE49-F238E27FC236}">
              <a16:creationId xmlns:a16="http://schemas.microsoft.com/office/drawing/2014/main" id="{9410D049-B61E-40D5-9B62-37CAD49758BA}"/>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92" name="Shape 4">
          <a:extLst>
            <a:ext uri="{FF2B5EF4-FFF2-40B4-BE49-F238E27FC236}">
              <a16:creationId xmlns:a16="http://schemas.microsoft.com/office/drawing/2014/main" id="{D52D980A-4246-4044-BCFE-2ADD91838AEF}"/>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93" name="Shape 4">
          <a:extLst>
            <a:ext uri="{FF2B5EF4-FFF2-40B4-BE49-F238E27FC236}">
              <a16:creationId xmlns:a16="http://schemas.microsoft.com/office/drawing/2014/main" id="{8B38A724-0D7E-4751-B00D-58B05720B288}"/>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94" name="Shape 4">
          <a:extLst>
            <a:ext uri="{FF2B5EF4-FFF2-40B4-BE49-F238E27FC236}">
              <a16:creationId xmlns:a16="http://schemas.microsoft.com/office/drawing/2014/main" id="{A06E1296-71CB-4E60-B717-5967E4B1B14A}"/>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95" name="Shape 4">
          <a:extLst>
            <a:ext uri="{FF2B5EF4-FFF2-40B4-BE49-F238E27FC236}">
              <a16:creationId xmlns:a16="http://schemas.microsoft.com/office/drawing/2014/main" id="{660B2C2A-A0BF-4921-8C3E-786F6FAD9BBC}"/>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96" name="Shape 4">
          <a:extLst>
            <a:ext uri="{FF2B5EF4-FFF2-40B4-BE49-F238E27FC236}">
              <a16:creationId xmlns:a16="http://schemas.microsoft.com/office/drawing/2014/main" id="{3807A3B0-B7AC-4A9D-8010-8BBC7B65EB8C}"/>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97" name="Shape 4">
          <a:extLst>
            <a:ext uri="{FF2B5EF4-FFF2-40B4-BE49-F238E27FC236}">
              <a16:creationId xmlns:a16="http://schemas.microsoft.com/office/drawing/2014/main" id="{B42C656F-FD04-46FC-B7C2-58B9D7C20F9D}"/>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98" name="Shape 4">
          <a:extLst>
            <a:ext uri="{FF2B5EF4-FFF2-40B4-BE49-F238E27FC236}">
              <a16:creationId xmlns:a16="http://schemas.microsoft.com/office/drawing/2014/main" id="{F2B18A66-4568-4911-A676-6AF26D3CA714}"/>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99" name="Shape 4">
          <a:extLst>
            <a:ext uri="{FF2B5EF4-FFF2-40B4-BE49-F238E27FC236}">
              <a16:creationId xmlns:a16="http://schemas.microsoft.com/office/drawing/2014/main" id="{05579D49-E150-4637-895B-B20805548C77}"/>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100" name="Shape 4">
          <a:extLst>
            <a:ext uri="{FF2B5EF4-FFF2-40B4-BE49-F238E27FC236}">
              <a16:creationId xmlns:a16="http://schemas.microsoft.com/office/drawing/2014/main" id="{5C56592D-3EA4-4ABA-93B0-B99CB77AE409}"/>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26</xdr:col>
      <xdr:colOff>0</xdr:colOff>
      <xdr:row>26</xdr:row>
      <xdr:rowOff>0</xdr:rowOff>
    </xdr:from>
    <xdr:ext cx="190500" cy="266700"/>
    <xdr:sp macro="" textlink="">
      <xdr:nvSpPr>
        <xdr:cNvPr id="101" name="Shape 4">
          <a:extLst>
            <a:ext uri="{FF2B5EF4-FFF2-40B4-BE49-F238E27FC236}">
              <a16:creationId xmlns:a16="http://schemas.microsoft.com/office/drawing/2014/main" id="{877097BF-0F69-4F29-A5E3-E71E2BE9F2CD}"/>
            </a:ext>
          </a:extLst>
        </xdr:cNvPr>
        <xdr:cNvSpPr txBox="1"/>
      </xdr:nvSpPr>
      <xdr:spPr>
        <a:xfrm>
          <a:off x="18754725" y="78390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02" name="Shape 5">
          <a:extLst>
            <a:ext uri="{FF2B5EF4-FFF2-40B4-BE49-F238E27FC236}">
              <a16:creationId xmlns:a16="http://schemas.microsoft.com/office/drawing/2014/main" id="{075E7085-B3BB-45CE-8A41-0514C0F1BF38}"/>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03" name="Shape 5">
          <a:extLst>
            <a:ext uri="{FF2B5EF4-FFF2-40B4-BE49-F238E27FC236}">
              <a16:creationId xmlns:a16="http://schemas.microsoft.com/office/drawing/2014/main" id="{DF3F2473-F513-401D-9CEE-E94AC063D84A}"/>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04" name="Shape 5">
          <a:extLst>
            <a:ext uri="{FF2B5EF4-FFF2-40B4-BE49-F238E27FC236}">
              <a16:creationId xmlns:a16="http://schemas.microsoft.com/office/drawing/2014/main" id="{28C9D8A2-A343-4ADB-B8FE-7078CF93B7E5}"/>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05" name="Shape 5">
          <a:extLst>
            <a:ext uri="{FF2B5EF4-FFF2-40B4-BE49-F238E27FC236}">
              <a16:creationId xmlns:a16="http://schemas.microsoft.com/office/drawing/2014/main" id="{2DA8AA83-696F-4023-82FE-C89AA5C1F176}"/>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06" name="Shape 5">
          <a:extLst>
            <a:ext uri="{FF2B5EF4-FFF2-40B4-BE49-F238E27FC236}">
              <a16:creationId xmlns:a16="http://schemas.microsoft.com/office/drawing/2014/main" id="{F5169A21-4640-44AD-BEE7-A84E6EAA7341}"/>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07" name="Shape 5">
          <a:extLst>
            <a:ext uri="{FF2B5EF4-FFF2-40B4-BE49-F238E27FC236}">
              <a16:creationId xmlns:a16="http://schemas.microsoft.com/office/drawing/2014/main" id="{60A8F442-E967-4942-B48A-1AC77D3797C0}"/>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08" name="Shape 5">
          <a:extLst>
            <a:ext uri="{FF2B5EF4-FFF2-40B4-BE49-F238E27FC236}">
              <a16:creationId xmlns:a16="http://schemas.microsoft.com/office/drawing/2014/main" id="{BBC09720-ECDA-4867-B909-C5F9EA5971F8}"/>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09" name="Shape 5">
          <a:extLst>
            <a:ext uri="{FF2B5EF4-FFF2-40B4-BE49-F238E27FC236}">
              <a16:creationId xmlns:a16="http://schemas.microsoft.com/office/drawing/2014/main" id="{E5EF0EBD-5A68-4A99-87EC-BE2DE0CCE44B}"/>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10" name="Shape 5">
          <a:extLst>
            <a:ext uri="{FF2B5EF4-FFF2-40B4-BE49-F238E27FC236}">
              <a16:creationId xmlns:a16="http://schemas.microsoft.com/office/drawing/2014/main" id="{36DF1210-8310-446F-89E7-52E5E5B1F3DF}"/>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11" name="Shape 5">
          <a:extLst>
            <a:ext uri="{FF2B5EF4-FFF2-40B4-BE49-F238E27FC236}">
              <a16:creationId xmlns:a16="http://schemas.microsoft.com/office/drawing/2014/main" id="{A300B26D-1A24-4F8B-B11B-9374AA605E70}"/>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12" name="Shape 5">
          <a:extLst>
            <a:ext uri="{FF2B5EF4-FFF2-40B4-BE49-F238E27FC236}">
              <a16:creationId xmlns:a16="http://schemas.microsoft.com/office/drawing/2014/main" id="{D1A35530-30E1-40D1-85DF-7F08361B3582}"/>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13" name="Shape 5">
          <a:extLst>
            <a:ext uri="{FF2B5EF4-FFF2-40B4-BE49-F238E27FC236}">
              <a16:creationId xmlns:a16="http://schemas.microsoft.com/office/drawing/2014/main" id="{906758A2-4542-455A-9CB7-8DAC6202466A}"/>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14" name="Shape 5">
          <a:extLst>
            <a:ext uri="{FF2B5EF4-FFF2-40B4-BE49-F238E27FC236}">
              <a16:creationId xmlns:a16="http://schemas.microsoft.com/office/drawing/2014/main" id="{F0D555CC-06DB-41D3-B65D-95AFE961B9C8}"/>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15" name="Shape 5">
          <a:extLst>
            <a:ext uri="{FF2B5EF4-FFF2-40B4-BE49-F238E27FC236}">
              <a16:creationId xmlns:a16="http://schemas.microsoft.com/office/drawing/2014/main" id="{68903CF5-F397-4AFF-BD77-1506BC1B85B5}"/>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16" name="Shape 5">
          <a:extLst>
            <a:ext uri="{FF2B5EF4-FFF2-40B4-BE49-F238E27FC236}">
              <a16:creationId xmlns:a16="http://schemas.microsoft.com/office/drawing/2014/main" id="{866F29EA-A76D-4A01-BDB6-9B63A6099CA3}"/>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17" name="Shape 5">
          <a:extLst>
            <a:ext uri="{FF2B5EF4-FFF2-40B4-BE49-F238E27FC236}">
              <a16:creationId xmlns:a16="http://schemas.microsoft.com/office/drawing/2014/main" id="{01976D65-67DB-4C16-9452-1DDA98DB5DC1}"/>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18" name="Shape 5">
          <a:extLst>
            <a:ext uri="{FF2B5EF4-FFF2-40B4-BE49-F238E27FC236}">
              <a16:creationId xmlns:a16="http://schemas.microsoft.com/office/drawing/2014/main" id="{BFC08FF6-4C2F-4BE9-A5F5-5E5A1583A53A}"/>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19" name="Shape 5">
          <a:extLst>
            <a:ext uri="{FF2B5EF4-FFF2-40B4-BE49-F238E27FC236}">
              <a16:creationId xmlns:a16="http://schemas.microsoft.com/office/drawing/2014/main" id="{760F9E56-2990-48C3-B69A-07D1C632FF5B}"/>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20" name="Shape 5">
          <a:extLst>
            <a:ext uri="{FF2B5EF4-FFF2-40B4-BE49-F238E27FC236}">
              <a16:creationId xmlns:a16="http://schemas.microsoft.com/office/drawing/2014/main" id="{D4057E67-CCE2-41E0-88AC-F9F98529FAB8}"/>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21" name="Shape 5">
          <a:extLst>
            <a:ext uri="{FF2B5EF4-FFF2-40B4-BE49-F238E27FC236}">
              <a16:creationId xmlns:a16="http://schemas.microsoft.com/office/drawing/2014/main" id="{45205065-B4DF-49D7-AA80-3E26D2F19A13}"/>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22" name="Shape 5">
          <a:extLst>
            <a:ext uri="{FF2B5EF4-FFF2-40B4-BE49-F238E27FC236}">
              <a16:creationId xmlns:a16="http://schemas.microsoft.com/office/drawing/2014/main" id="{99A245EB-0605-410F-924C-4C6369DA64DF}"/>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23" name="Shape 5">
          <a:extLst>
            <a:ext uri="{FF2B5EF4-FFF2-40B4-BE49-F238E27FC236}">
              <a16:creationId xmlns:a16="http://schemas.microsoft.com/office/drawing/2014/main" id="{132ECCED-9E20-41C7-954D-03F48AE64BFE}"/>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24" name="Shape 5">
          <a:extLst>
            <a:ext uri="{FF2B5EF4-FFF2-40B4-BE49-F238E27FC236}">
              <a16:creationId xmlns:a16="http://schemas.microsoft.com/office/drawing/2014/main" id="{6D799B00-6D19-4108-8CA2-3988A098D0D1}"/>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25" name="Shape 5">
          <a:extLst>
            <a:ext uri="{FF2B5EF4-FFF2-40B4-BE49-F238E27FC236}">
              <a16:creationId xmlns:a16="http://schemas.microsoft.com/office/drawing/2014/main" id="{C9422AD9-4B37-4E39-89D5-A78E4CB9661B}"/>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26" name="Shape 5">
          <a:extLst>
            <a:ext uri="{FF2B5EF4-FFF2-40B4-BE49-F238E27FC236}">
              <a16:creationId xmlns:a16="http://schemas.microsoft.com/office/drawing/2014/main" id="{CC777E8A-F25B-468F-98B2-BFAAD7979FBA}"/>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27" name="Shape 5">
          <a:extLst>
            <a:ext uri="{FF2B5EF4-FFF2-40B4-BE49-F238E27FC236}">
              <a16:creationId xmlns:a16="http://schemas.microsoft.com/office/drawing/2014/main" id="{0107CD1A-1DF6-432B-A495-E2198FAD781B}"/>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28" name="Shape 5">
          <a:extLst>
            <a:ext uri="{FF2B5EF4-FFF2-40B4-BE49-F238E27FC236}">
              <a16:creationId xmlns:a16="http://schemas.microsoft.com/office/drawing/2014/main" id="{DF278332-2480-441F-95EE-6F588F30BE2F}"/>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29" name="Shape 5">
          <a:extLst>
            <a:ext uri="{FF2B5EF4-FFF2-40B4-BE49-F238E27FC236}">
              <a16:creationId xmlns:a16="http://schemas.microsoft.com/office/drawing/2014/main" id="{6AE01BAC-CFCB-4A79-95B5-EC07EDCCCAB8}"/>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30" name="Shape 5">
          <a:extLst>
            <a:ext uri="{FF2B5EF4-FFF2-40B4-BE49-F238E27FC236}">
              <a16:creationId xmlns:a16="http://schemas.microsoft.com/office/drawing/2014/main" id="{84215A37-9905-4A1C-B824-F44078ECD2C3}"/>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31" name="Shape 5">
          <a:extLst>
            <a:ext uri="{FF2B5EF4-FFF2-40B4-BE49-F238E27FC236}">
              <a16:creationId xmlns:a16="http://schemas.microsoft.com/office/drawing/2014/main" id="{3084DA15-ED2E-42F9-A472-3B0DE08C1460}"/>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32" name="Shape 5">
          <a:extLst>
            <a:ext uri="{FF2B5EF4-FFF2-40B4-BE49-F238E27FC236}">
              <a16:creationId xmlns:a16="http://schemas.microsoft.com/office/drawing/2014/main" id="{B341E379-431A-4D96-B4C3-980E51D6FE81}"/>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33" name="Shape 5">
          <a:extLst>
            <a:ext uri="{FF2B5EF4-FFF2-40B4-BE49-F238E27FC236}">
              <a16:creationId xmlns:a16="http://schemas.microsoft.com/office/drawing/2014/main" id="{E2F9D4AD-6E13-475E-AF98-9FF3241B3925}"/>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34" name="Shape 5">
          <a:extLst>
            <a:ext uri="{FF2B5EF4-FFF2-40B4-BE49-F238E27FC236}">
              <a16:creationId xmlns:a16="http://schemas.microsoft.com/office/drawing/2014/main" id="{F46AE9FC-3036-42CD-8F66-790999E7C86D}"/>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35" name="Shape 5">
          <a:extLst>
            <a:ext uri="{FF2B5EF4-FFF2-40B4-BE49-F238E27FC236}">
              <a16:creationId xmlns:a16="http://schemas.microsoft.com/office/drawing/2014/main" id="{95D970D7-31B5-47B0-8427-52E92CC06788}"/>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36" name="Shape 5">
          <a:extLst>
            <a:ext uri="{FF2B5EF4-FFF2-40B4-BE49-F238E27FC236}">
              <a16:creationId xmlns:a16="http://schemas.microsoft.com/office/drawing/2014/main" id="{AB3367C5-D0B7-461A-A5D8-2C1829952D60}"/>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37" name="Shape 5">
          <a:extLst>
            <a:ext uri="{FF2B5EF4-FFF2-40B4-BE49-F238E27FC236}">
              <a16:creationId xmlns:a16="http://schemas.microsoft.com/office/drawing/2014/main" id="{36B71B51-D4C7-42D7-8AC0-AF8661F007A1}"/>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38" name="Shape 5">
          <a:extLst>
            <a:ext uri="{FF2B5EF4-FFF2-40B4-BE49-F238E27FC236}">
              <a16:creationId xmlns:a16="http://schemas.microsoft.com/office/drawing/2014/main" id="{474C9BC9-C2F5-4038-BFE4-0A73ADD73636}"/>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39" name="Shape 5">
          <a:extLst>
            <a:ext uri="{FF2B5EF4-FFF2-40B4-BE49-F238E27FC236}">
              <a16:creationId xmlns:a16="http://schemas.microsoft.com/office/drawing/2014/main" id="{FF00DEBB-5885-4F20-9785-C22021D84E9F}"/>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40" name="Shape 5">
          <a:extLst>
            <a:ext uri="{FF2B5EF4-FFF2-40B4-BE49-F238E27FC236}">
              <a16:creationId xmlns:a16="http://schemas.microsoft.com/office/drawing/2014/main" id="{5BDEC42D-D71D-4D53-8C7E-C41B47CC0CCD}"/>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41" name="Shape 5">
          <a:extLst>
            <a:ext uri="{FF2B5EF4-FFF2-40B4-BE49-F238E27FC236}">
              <a16:creationId xmlns:a16="http://schemas.microsoft.com/office/drawing/2014/main" id="{E81B1C08-AC3A-426A-BE94-CBAB77CD8241}"/>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42" name="Shape 5">
          <a:extLst>
            <a:ext uri="{FF2B5EF4-FFF2-40B4-BE49-F238E27FC236}">
              <a16:creationId xmlns:a16="http://schemas.microsoft.com/office/drawing/2014/main" id="{92D78CF4-7EC1-4D7A-9FB7-80904E712C4F}"/>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43" name="Shape 5">
          <a:extLst>
            <a:ext uri="{FF2B5EF4-FFF2-40B4-BE49-F238E27FC236}">
              <a16:creationId xmlns:a16="http://schemas.microsoft.com/office/drawing/2014/main" id="{6F9BC70F-1D76-4E1E-B9BA-3C8AEFE995B5}"/>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44" name="Shape 5">
          <a:extLst>
            <a:ext uri="{FF2B5EF4-FFF2-40B4-BE49-F238E27FC236}">
              <a16:creationId xmlns:a16="http://schemas.microsoft.com/office/drawing/2014/main" id="{CBD9BD03-3F9B-45D6-94B9-FDA6A53A3D60}"/>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45" name="Shape 5">
          <a:extLst>
            <a:ext uri="{FF2B5EF4-FFF2-40B4-BE49-F238E27FC236}">
              <a16:creationId xmlns:a16="http://schemas.microsoft.com/office/drawing/2014/main" id="{C78E31AA-CF56-4E86-9E51-7763DE308723}"/>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46" name="Shape 5">
          <a:extLst>
            <a:ext uri="{FF2B5EF4-FFF2-40B4-BE49-F238E27FC236}">
              <a16:creationId xmlns:a16="http://schemas.microsoft.com/office/drawing/2014/main" id="{4F87F791-E1DD-4564-A1B1-9A8D07650BFC}"/>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47" name="Shape 5">
          <a:extLst>
            <a:ext uri="{FF2B5EF4-FFF2-40B4-BE49-F238E27FC236}">
              <a16:creationId xmlns:a16="http://schemas.microsoft.com/office/drawing/2014/main" id="{E77B6AEB-EA6B-4A12-9105-1ED8EDD1C13C}"/>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48" name="Shape 5">
          <a:extLst>
            <a:ext uri="{FF2B5EF4-FFF2-40B4-BE49-F238E27FC236}">
              <a16:creationId xmlns:a16="http://schemas.microsoft.com/office/drawing/2014/main" id="{C493A841-C324-4577-A9F8-12469BB26CE1}"/>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49" name="Shape 5">
          <a:extLst>
            <a:ext uri="{FF2B5EF4-FFF2-40B4-BE49-F238E27FC236}">
              <a16:creationId xmlns:a16="http://schemas.microsoft.com/office/drawing/2014/main" id="{4C1D6BC5-95EC-41BE-8064-180B4B9A232D}"/>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50" name="Shape 5">
          <a:extLst>
            <a:ext uri="{FF2B5EF4-FFF2-40B4-BE49-F238E27FC236}">
              <a16:creationId xmlns:a16="http://schemas.microsoft.com/office/drawing/2014/main" id="{4EDE0F07-312E-4E5A-AF02-149DD37632ED}"/>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51" name="Shape 5">
          <a:extLst>
            <a:ext uri="{FF2B5EF4-FFF2-40B4-BE49-F238E27FC236}">
              <a16:creationId xmlns:a16="http://schemas.microsoft.com/office/drawing/2014/main" id="{69E5B8E7-BD84-49AC-9F23-6E4C86DCC1C1}"/>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52" name="Shape 5">
          <a:extLst>
            <a:ext uri="{FF2B5EF4-FFF2-40B4-BE49-F238E27FC236}">
              <a16:creationId xmlns:a16="http://schemas.microsoft.com/office/drawing/2014/main" id="{2542C6CD-9550-4A1D-81D0-2F26320B1A7A}"/>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53" name="Shape 5">
          <a:extLst>
            <a:ext uri="{FF2B5EF4-FFF2-40B4-BE49-F238E27FC236}">
              <a16:creationId xmlns:a16="http://schemas.microsoft.com/office/drawing/2014/main" id="{A4B52F53-9ACD-4E5D-AB65-86E88A0D1174}"/>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54" name="Shape 5">
          <a:extLst>
            <a:ext uri="{FF2B5EF4-FFF2-40B4-BE49-F238E27FC236}">
              <a16:creationId xmlns:a16="http://schemas.microsoft.com/office/drawing/2014/main" id="{4F8CD55E-2EF9-45D8-9562-CCDE33F578E8}"/>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55" name="Shape 5">
          <a:extLst>
            <a:ext uri="{FF2B5EF4-FFF2-40B4-BE49-F238E27FC236}">
              <a16:creationId xmlns:a16="http://schemas.microsoft.com/office/drawing/2014/main" id="{A56DC4B7-DFD8-4DE3-A281-65680FCAF403}"/>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56" name="Shape 5">
          <a:extLst>
            <a:ext uri="{FF2B5EF4-FFF2-40B4-BE49-F238E27FC236}">
              <a16:creationId xmlns:a16="http://schemas.microsoft.com/office/drawing/2014/main" id="{0E8F0513-8B0A-4082-BC36-9694526D07B6}"/>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57" name="Shape 5">
          <a:extLst>
            <a:ext uri="{FF2B5EF4-FFF2-40B4-BE49-F238E27FC236}">
              <a16:creationId xmlns:a16="http://schemas.microsoft.com/office/drawing/2014/main" id="{B3B3634E-EFCE-4C43-8F76-0ABE4072A6B8}"/>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58" name="Shape 5">
          <a:extLst>
            <a:ext uri="{FF2B5EF4-FFF2-40B4-BE49-F238E27FC236}">
              <a16:creationId xmlns:a16="http://schemas.microsoft.com/office/drawing/2014/main" id="{91C5023B-FFEE-4CAF-A5FF-B05B2BD69877}"/>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59" name="Shape 5">
          <a:extLst>
            <a:ext uri="{FF2B5EF4-FFF2-40B4-BE49-F238E27FC236}">
              <a16:creationId xmlns:a16="http://schemas.microsoft.com/office/drawing/2014/main" id="{12D633C7-ADD3-43EB-9CA7-8A85781CB571}"/>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60" name="Shape 5">
          <a:extLst>
            <a:ext uri="{FF2B5EF4-FFF2-40B4-BE49-F238E27FC236}">
              <a16:creationId xmlns:a16="http://schemas.microsoft.com/office/drawing/2014/main" id="{A9BA7D4F-EB2D-43F4-8176-250C644A4C34}"/>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61" name="Shape 5">
          <a:extLst>
            <a:ext uri="{FF2B5EF4-FFF2-40B4-BE49-F238E27FC236}">
              <a16:creationId xmlns:a16="http://schemas.microsoft.com/office/drawing/2014/main" id="{21327225-A75B-4964-BECA-6248F0F795ED}"/>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62" name="Shape 5">
          <a:extLst>
            <a:ext uri="{FF2B5EF4-FFF2-40B4-BE49-F238E27FC236}">
              <a16:creationId xmlns:a16="http://schemas.microsoft.com/office/drawing/2014/main" id="{A2647586-C8FA-48B4-818A-BD56934940D9}"/>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63" name="Shape 5">
          <a:extLst>
            <a:ext uri="{FF2B5EF4-FFF2-40B4-BE49-F238E27FC236}">
              <a16:creationId xmlns:a16="http://schemas.microsoft.com/office/drawing/2014/main" id="{6A7DB50E-3491-46E9-B3C7-C92F21860BAC}"/>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64" name="Shape 5">
          <a:extLst>
            <a:ext uri="{FF2B5EF4-FFF2-40B4-BE49-F238E27FC236}">
              <a16:creationId xmlns:a16="http://schemas.microsoft.com/office/drawing/2014/main" id="{E9196273-81FA-4039-93B5-6EF4DCF60310}"/>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65" name="Shape 5">
          <a:extLst>
            <a:ext uri="{FF2B5EF4-FFF2-40B4-BE49-F238E27FC236}">
              <a16:creationId xmlns:a16="http://schemas.microsoft.com/office/drawing/2014/main" id="{E9C62AE0-9175-40C6-86F3-6ED298B49DCD}"/>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66" name="Shape 5">
          <a:extLst>
            <a:ext uri="{FF2B5EF4-FFF2-40B4-BE49-F238E27FC236}">
              <a16:creationId xmlns:a16="http://schemas.microsoft.com/office/drawing/2014/main" id="{E0C36052-BA13-41CF-878F-C506C91B795F}"/>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67" name="Shape 5">
          <a:extLst>
            <a:ext uri="{FF2B5EF4-FFF2-40B4-BE49-F238E27FC236}">
              <a16:creationId xmlns:a16="http://schemas.microsoft.com/office/drawing/2014/main" id="{E8E536BE-4C17-4FE1-96C9-8BC400DFF0BD}"/>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68" name="Shape 5">
          <a:extLst>
            <a:ext uri="{FF2B5EF4-FFF2-40B4-BE49-F238E27FC236}">
              <a16:creationId xmlns:a16="http://schemas.microsoft.com/office/drawing/2014/main" id="{8CF75D08-F058-4D15-8493-5E6E43B8483F}"/>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69" name="Shape 5">
          <a:extLst>
            <a:ext uri="{FF2B5EF4-FFF2-40B4-BE49-F238E27FC236}">
              <a16:creationId xmlns:a16="http://schemas.microsoft.com/office/drawing/2014/main" id="{40D2A14E-12EF-492A-B4E2-C3152F00F10B}"/>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70" name="Shape 5">
          <a:extLst>
            <a:ext uri="{FF2B5EF4-FFF2-40B4-BE49-F238E27FC236}">
              <a16:creationId xmlns:a16="http://schemas.microsoft.com/office/drawing/2014/main" id="{E879FA35-DB58-4A0E-B181-9C7593D72E31}"/>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71" name="Shape 5">
          <a:extLst>
            <a:ext uri="{FF2B5EF4-FFF2-40B4-BE49-F238E27FC236}">
              <a16:creationId xmlns:a16="http://schemas.microsoft.com/office/drawing/2014/main" id="{1C68F521-1768-41D4-ABB6-76BC41CDC791}"/>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72" name="Shape 5">
          <a:extLst>
            <a:ext uri="{FF2B5EF4-FFF2-40B4-BE49-F238E27FC236}">
              <a16:creationId xmlns:a16="http://schemas.microsoft.com/office/drawing/2014/main" id="{7EE61DEA-0C5D-4FB8-AB3F-AEB00C6010B8}"/>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73" name="Shape 5">
          <a:extLst>
            <a:ext uri="{FF2B5EF4-FFF2-40B4-BE49-F238E27FC236}">
              <a16:creationId xmlns:a16="http://schemas.microsoft.com/office/drawing/2014/main" id="{CEA90FBE-0A52-44E3-81CE-B82C2EC520A5}"/>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74" name="Shape 5">
          <a:extLst>
            <a:ext uri="{FF2B5EF4-FFF2-40B4-BE49-F238E27FC236}">
              <a16:creationId xmlns:a16="http://schemas.microsoft.com/office/drawing/2014/main" id="{3C8E4A11-7436-42D6-A833-B4BE5BA5A8A0}"/>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75" name="Shape 5">
          <a:extLst>
            <a:ext uri="{FF2B5EF4-FFF2-40B4-BE49-F238E27FC236}">
              <a16:creationId xmlns:a16="http://schemas.microsoft.com/office/drawing/2014/main" id="{A79FCF1B-CE4E-4402-9FD7-B67B4E1EA9FD}"/>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76" name="Shape 5">
          <a:extLst>
            <a:ext uri="{FF2B5EF4-FFF2-40B4-BE49-F238E27FC236}">
              <a16:creationId xmlns:a16="http://schemas.microsoft.com/office/drawing/2014/main" id="{174D3D03-9DE7-428F-AEDD-3AE09491DF31}"/>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77" name="Shape 5">
          <a:extLst>
            <a:ext uri="{FF2B5EF4-FFF2-40B4-BE49-F238E27FC236}">
              <a16:creationId xmlns:a16="http://schemas.microsoft.com/office/drawing/2014/main" id="{E088084D-A9F8-47B6-BC00-6473170FEB9C}"/>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78" name="Shape 5">
          <a:extLst>
            <a:ext uri="{FF2B5EF4-FFF2-40B4-BE49-F238E27FC236}">
              <a16:creationId xmlns:a16="http://schemas.microsoft.com/office/drawing/2014/main" id="{7A6DD3A1-9ADE-46B7-80D1-D93E6ACA5F44}"/>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79" name="Shape 5">
          <a:extLst>
            <a:ext uri="{FF2B5EF4-FFF2-40B4-BE49-F238E27FC236}">
              <a16:creationId xmlns:a16="http://schemas.microsoft.com/office/drawing/2014/main" id="{4CC285EE-FC5C-4B79-B1C3-3FBB94EB4492}"/>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80" name="Shape 5">
          <a:extLst>
            <a:ext uri="{FF2B5EF4-FFF2-40B4-BE49-F238E27FC236}">
              <a16:creationId xmlns:a16="http://schemas.microsoft.com/office/drawing/2014/main" id="{9FEB4F0A-30AB-4C67-8904-9171C44EF525}"/>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81" name="Shape 5">
          <a:extLst>
            <a:ext uri="{FF2B5EF4-FFF2-40B4-BE49-F238E27FC236}">
              <a16:creationId xmlns:a16="http://schemas.microsoft.com/office/drawing/2014/main" id="{79A5C724-C6B6-4E6C-AB0B-3EF6D33F8269}"/>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82" name="Shape 5">
          <a:extLst>
            <a:ext uri="{FF2B5EF4-FFF2-40B4-BE49-F238E27FC236}">
              <a16:creationId xmlns:a16="http://schemas.microsoft.com/office/drawing/2014/main" id="{F1676FE7-B11D-4FED-B406-63D0789D1137}"/>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83" name="Shape 5">
          <a:extLst>
            <a:ext uri="{FF2B5EF4-FFF2-40B4-BE49-F238E27FC236}">
              <a16:creationId xmlns:a16="http://schemas.microsoft.com/office/drawing/2014/main" id="{39E852DE-4F78-46B2-8A23-D798F49E2C71}"/>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84" name="Shape 5">
          <a:extLst>
            <a:ext uri="{FF2B5EF4-FFF2-40B4-BE49-F238E27FC236}">
              <a16:creationId xmlns:a16="http://schemas.microsoft.com/office/drawing/2014/main" id="{FF39A74C-5BDF-4968-A215-5E49AD0457B3}"/>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85" name="Shape 5">
          <a:extLst>
            <a:ext uri="{FF2B5EF4-FFF2-40B4-BE49-F238E27FC236}">
              <a16:creationId xmlns:a16="http://schemas.microsoft.com/office/drawing/2014/main" id="{C0C8B0DE-9F44-4204-8EE6-14D21EF0B4BE}"/>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86" name="Shape 5">
          <a:extLst>
            <a:ext uri="{FF2B5EF4-FFF2-40B4-BE49-F238E27FC236}">
              <a16:creationId xmlns:a16="http://schemas.microsoft.com/office/drawing/2014/main" id="{8119063F-0E29-433F-BE84-0AAB4A7761FB}"/>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87" name="Shape 5">
          <a:extLst>
            <a:ext uri="{FF2B5EF4-FFF2-40B4-BE49-F238E27FC236}">
              <a16:creationId xmlns:a16="http://schemas.microsoft.com/office/drawing/2014/main" id="{F9A53095-9081-48D9-B139-B1F6E2749874}"/>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88" name="Shape 5">
          <a:extLst>
            <a:ext uri="{FF2B5EF4-FFF2-40B4-BE49-F238E27FC236}">
              <a16:creationId xmlns:a16="http://schemas.microsoft.com/office/drawing/2014/main" id="{6ACB7A8B-2D43-4032-8309-6438B4F7867D}"/>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89" name="Shape 5">
          <a:extLst>
            <a:ext uri="{FF2B5EF4-FFF2-40B4-BE49-F238E27FC236}">
              <a16:creationId xmlns:a16="http://schemas.microsoft.com/office/drawing/2014/main" id="{387D62E0-0B92-4078-B535-E897AACD381B}"/>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90" name="Shape 5">
          <a:extLst>
            <a:ext uri="{FF2B5EF4-FFF2-40B4-BE49-F238E27FC236}">
              <a16:creationId xmlns:a16="http://schemas.microsoft.com/office/drawing/2014/main" id="{C707F5D7-2518-491C-B6E5-2ED8C1D47F57}"/>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91" name="Shape 5">
          <a:extLst>
            <a:ext uri="{FF2B5EF4-FFF2-40B4-BE49-F238E27FC236}">
              <a16:creationId xmlns:a16="http://schemas.microsoft.com/office/drawing/2014/main" id="{EAFD2D3D-3C15-44C6-9D64-289A6093848D}"/>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92" name="Shape 5">
          <a:extLst>
            <a:ext uri="{FF2B5EF4-FFF2-40B4-BE49-F238E27FC236}">
              <a16:creationId xmlns:a16="http://schemas.microsoft.com/office/drawing/2014/main" id="{A52B2CD1-A54A-4867-824E-C10A297A9C6B}"/>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93" name="Shape 5">
          <a:extLst>
            <a:ext uri="{FF2B5EF4-FFF2-40B4-BE49-F238E27FC236}">
              <a16:creationId xmlns:a16="http://schemas.microsoft.com/office/drawing/2014/main" id="{CBF5DAA6-3A2D-4B19-9031-1D0A5755F9CE}"/>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94" name="Shape 5">
          <a:extLst>
            <a:ext uri="{FF2B5EF4-FFF2-40B4-BE49-F238E27FC236}">
              <a16:creationId xmlns:a16="http://schemas.microsoft.com/office/drawing/2014/main" id="{A092C5A2-612F-449E-B78A-5D4E674235F5}"/>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95" name="Shape 5">
          <a:extLst>
            <a:ext uri="{FF2B5EF4-FFF2-40B4-BE49-F238E27FC236}">
              <a16:creationId xmlns:a16="http://schemas.microsoft.com/office/drawing/2014/main" id="{A2C70DD5-CA27-49F2-88B6-058C35F456DD}"/>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96" name="Shape 5">
          <a:extLst>
            <a:ext uri="{FF2B5EF4-FFF2-40B4-BE49-F238E27FC236}">
              <a16:creationId xmlns:a16="http://schemas.microsoft.com/office/drawing/2014/main" id="{B431A4FF-64EF-45C1-9E53-812EDF86F77E}"/>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97" name="Shape 5">
          <a:extLst>
            <a:ext uri="{FF2B5EF4-FFF2-40B4-BE49-F238E27FC236}">
              <a16:creationId xmlns:a16="http://schemas.microsoft.com/office/drawing/2014/main" id="{EA6D3E5F-A8BE-47B2-B1EA-8FCE8D6B4004}"/>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98" name="Shape 5">
          <a:extLst>
            <a:ext uri="{FF2B5EF4-FFF2-40B4-BE49-F238E27FC236}">
              <a16:creationId xmlns:a16="http://schemas.microsoft.com/office/drawing/2014/main" id="{256402F4-BF68-4EB3-ABE0-04B873187763}"/>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199" name="Shape 5">
          <a:extLst>
            <a:ext uri="{FF2B5EF4-FFF2-40B4-BE49-F238E27FC236}">
              <a16:creationId xmlns:a16="http://schemas.microsoft.com/office/drawing/2014/main" id="{7F6A7F4C-43E1-4BA5-854B-3D97F00A179F}"/>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200" name="Shape 5">
          <a:extLst>
            <a:ext uri="{FF2B5EF4-FFF2-40B4-BE49-F238E27FC236}">
              <a16:creationId xmlns:a16="http://schemas.microsoft.com/office/drawing/2014/main" id="{00B60486-8565-4661-BA48-33DBB4A54B69}"/>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48</xdr:col>
      <xdr:colOff>409575</xdr:colOff>
      <xdr:row>17</xdr:row>
      <xdr:rowOff>0</xdr:rowOff>
    </xdr:from>
    <xdr:ext cx="190500" cy="266700"/>
    <xdr:sp macro="" textlink="">
      <xdr:nvSpPr>
        <xdr:cNvPr id="201" name="Shape 5">
          <a:extLst>
            <a:ext uri="{FF2B5EF4-FFF2-40B4-BE49-F238E27FC236}">
              <a16:creationId xmlns:a16="http://schemas.microsoft.com/office/drawing/2014/main" id="{00BF4B6C-BF4B-4FF6-B4DE-0D248C9CDC64}"/>
            </a:ext>
          </a:extLst>
        </xdr:cNvPr>
        <xdr:cNvSpPr txBox="1"/>
      </xdr:nvSpPr>
      <xdr:spPr>
        <a:xfrm>
          <a:off x="24841200" y="55340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02" name="Shape 3">
          <a:extLst>
            <a:ext uri="{FF2B5EF4-FFF2-40B4-BE49-F238E27FC236}">
              <a16:creationId xmlns:a16="http://schemas.microsoft.com/office/drawing/2014/main" id="{E31CF715-548B-417D-B289-E86AA945648C}"/>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03" name="Shape 3">
          <a:extLst>
            <a:ext uri="{FF2B5EF4-FFF2-40B4-BE49-F238E27FC236}">
              <a16:creationId xmlns:a16="http://schemas.microsoft.com/office/drawing/2014/main" id="{B56B89DD-02F9-491B-A349-957C4EA9053D}"/>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04" name="Shape 3">
          <a:extLst>
            <a:ext uri="{FF2B5EF4-FFF2-40B4-BE49-F238E27FC236}">
              <a16:creationId xmlns:a16="http://schemas.microsoft.com/office/drawing/2014/main" id="{C900D712-9EC3-415F-ABA4-45740CB64D7A}"/>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05" name="Shape 3">
          <a:extLst>
            <a:ext uri="{FF2B5EF4-FFF2-40B4-BE49-F238E27FC236}">
              <a16:creationId xmlns:a16="http://schemas.microsoft.com/office/drawing/2014/main" id="{551E670C-90CE-4F99-9B1E-90EDF94987A8}"/>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06" name="Shape 3">
          <a:extLst>
            <a:ext uri="{FF2B5EF4-FFF2-40B4-BE49-F238E27FC236}">
              <a16:creationId xmlns:a16="http://schemas.microsoft.com/office/drawing/2014/main" id="{EDD548F4-7737-4908-AA09-3F07D62472E4}"/>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07" name="Shape 3">
          <a:extLst>
            <a:ext uri="{FF2B5EF4-FFF2-40B4-BE49-F238E27FC236}">
              <a16:creationId xmlns:a16="http://schemas.microsoft.com/office/drawing/2014/main" id="{607866ED-1275-4CD6-A292-54EF73368582}"/>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08" name="Shape 3">
          <a:extLst>
            <a:ext uri="{FF2B5EF4-FFF2-40B4-BE49-F238E27FC236}">
              <a16:creationId xmlns:a16="http://schemas.microsoft.com/office/drawing/2014/main" id="{01A76989-3720-40C9-BFFE-B61151BBE819}"/>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09" name="Shape 3">
          <a:extLst>
            <a:ext uri="{FF2B5EF4-FFF2-40B4-BE49-F238E27FC236}">
              <a16:creationId xmlns:a16="http://schemas.microsoft.com/office/drawing/2014/main" id="{580104AC-ACD4-4F95-A0A3-CE2DCE8F0E2C}"/>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10" name="Shape 3">
          <a:extLst>
            <a:ext uri="{FF2B5EF4-FFF2-40B4-BE49-F238E27FC236}">
              <a16:creationId xmlns:a16="http://schemas.microsoft.com/office/drawing/2014/main" id="{3A6B83F9-A036-4E5E-98AA-6691C9D3A981}"/>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11" name="Shape 3">
          <a:extLst>
            <a:ext uri="{FF2B5EF4-FFF2-40B4-BE49-F238E27FC236}">
              <a16:creationId xmlns:a16="http://schemas.microsoft.com/office/drawing/2014/main" id="{C4964E27-85D4-4FB6-94D4-D853AE37D5AA}"/>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12" name="Shape 3">
          <a:extLst>
            <a:ext uri="{FF2B5EF4-FFF2-40B4-BE49-F238E27FC236}">
              <a16:creationId xmlns:a16="http://schemas.microsoft.com/office/drawing/2014/main" id="{45D6B734-1F9B-4E90-AB30-430128AF05A3}"/>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13" name="Shape 3">
          <a:extLst>
            <a:ext uri="{FF2B5EF4-FFF2-40B4-BE49-F238E27FC236}">
              <a16:creationId xmlns:a16="http://schemas.microsoft.com/office/drawing/2014/main" id="{68FF8796-2A4F-45E4-82C5-1D2020FDCB83}"/>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14" name="Shape 3">
          <a:extLst>
            <a:ext uri="{FF2B5EF4-FFF2-40B4-BE49-F238E27FC236}">
              <a16:creationId xmlns:a16="http://schemas.microsoft.com/office/drawing/2014/main" id="{604C4E31-0BBD-4070-AD17-B1079255CDE7}"/>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15" name="Shape 3">
          <a:extLst>
            <a:ext uri="{FF2B5EF4-FFF2-40B4-BE49-F238E27FC236}">
              <a16:creationId xmlns:a16="http://schemas.microsoft.com/office/drawing/2014/main" id="{499FA3D2-68D9-4E63-AA09-FCE04F9EEEAF}"/>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16" name="Shape 3">
          <a:extLst>
            <a:ext uri="{FF2B5EF4-FFF2-40B4-BE49-F238E27FC236}">
              <a16:creationId xmlns:a16="http://schemas.microsoft.com/office/drawing/2014/main" id="{980D5A13-8A7B-4799-810F-19BAC8E7C979}"/>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17" name="Shape 3">
          <a:extLst>
            <a:ext uri="{FF2B5EF4-FFF2-40B4-BE49-F238E27FC236}">
              <a16:creationId xmlns:a16="http://schemas.microsoft.com/office/drawing/2014/main" id="{DD4AA2BC-DE88-4508-930A-EBAC228B0D8B}"/>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18" name="Shape 3">
          <a:extLst>
            <a:ext uri="{FF2B5EF4-FFF2-40B4-BE49-F238E27FC236}">
              <a16:creationId xmlns:a16="http://schemas.microsoft.com/office/drawing/2014/main" id="{E7A109F8-F3BD-4875-9E43-C0B189CC4622}"/>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19" name="Shape 3">
          <a:extLst>
            <a:ext uri="{FF2B5EF4-FFF2-40B4-BE49-F238E27FC236}">
              <a16:creationId xmlns:a16="http://schemas.microsoft.com/office/drawing/2014/main" id="{3BBA18EC-09AA-464E-ACB7-F2795A3FB593}"/>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20" name="Shape 3">
          <a:extLst>
            <a:ext uri="{FF2B5EF4-FFF2-40B4-BE49-F238E27FC236}">
              <a16:creationId xmlns:a16="http://schemas.microsoft.com/office/drawing/2014/main" id="{72BFC5DB-A436-4B88-A7E9-D848032F27AB}"/>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21" name="Shape 3">
          <a:extLst>
            <a:ext uri="{FF2B5EF4-FFF2-40B4-BE49-F238E27FC236}">
              <a16:creationId xmlns:a16="http://schemas.microsoft.com/office/drawing/2014/main" id="{7870B292-BEAA-4A50-A2FA-0AC29A5463A3}"/>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22" name="Shape 3">
          <a:extLst>
            <a:ext uri="{FF2B5EF4-FFF2-40B4-BE49-F238E27FC236}">
              <a16:creationId xmlns:a16="http://schemas.microsoft.com/office/drawing/2014/main" id="{04145E5A-8CA0-4441-9882-6F832BEB6BF1}"/>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23" name="Shape 3">
          <a:extLst>
            <a:ext uri="{FF2B5EF4-FFF2-40B4-BE49-F238E27FC236}">
              <a16:creationId xmlns:a16="http://schemas.microsoft.com/office/drawing/2014/main" id="{8CB74EA4-6462-408E-B03E-9F2CE7C282A4}"/>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24" name="Shape 3">
          <a:extLst>
            <a:ext uri="{FF2B5EF4-FFF2-40B4-BE49-F238E27FC236}">
              <a16:creationId xmlns:a16="http://schemas.microsoft.com/office/drawing/2014/main" id="{5B2A3DF2-B329-4B76-88C9-7041977D63CC}"/>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25" name="Shape 3">
          <a:extLst>
            <a:ext uri="{FF2B5EF4-FFF2-40B4-BE49-F238E27FC236}">
              <a16:creationId xmlns:a16="http://schemas.microsoft.com/office/drawing/2014/main" id="{F2712657-E113-4DF6-A847-C1BDAC8CE236}"/>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26" name="Shape 3">
          <a:extLst>
            <a:ext uri="{FF2B5EF4-FFF2-40B4-BE49-F238E27FC236}">
              <a16:creationId xmlns:a16="http://schemas.microsoft.com/office/drawing/2014/main" id="{BFBFEE3B-A1CE-4020-8C9A-9E0AEF12AF5E}"/>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27" name="Shape 3">
          <a:extLst>
            <a:ext uri="{FF2B5EF4-FFF2-40B4-BE49-F238E27FC236}">
              <a16:creationId xmlns:a16="http://schemas.microsoft.com/office/drawing/2014/main" id="{2BCD83FD-BF8B-4A1D-9946-AD773A25FF89}"/>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28" name="Shape 3">
          <a:extLst>
            <a:ext uri="{FF2B5EF4-FFF2-40B4-BE49-F238E27FC236}">
              <a16:creationId xmlns:a16="http://schemas.microsoft.com/office/drawing/2014/main" id="{D082A82D-5983-4E22-BBB6-357B01B74275}"/>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29" name="Shape 3">
          <a:extLst>
            <a:ext uri="{FF2B5EF4-FFF2-40B4-BE49-F238E27FC236}">
              <a16:creationId xmlns:a16="http://schemas.microsoft.com/office/drawing/2014/main" id="{DB03705A-59FA-41CA-9BF4-9AB69CEF95FD}"/>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30" name="Shape 3">
          <a:extLst>
            <a:ext uri="{FF2B5EF4-FFF2-40B4-BE49-F238E27FC236}">
              <a16:creationId xmlns:a16="http://schemas.microsoft.com/office/drawing/2014/main" id="{05D02597-DBEB-4A02-AB6C-252DAD5DF936}"/>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31" name="Shape 3">
          <a:extLst>
            <a:ext uri="{FF2B5EF4-FFF2-40B4-BE49-F238E27FC236}">
              <a16:creationId xmlns:a16="http://schemas.microsoft.com/office/drawing/2014/main" id="{18D2BC63-BDB0-4FAF-9F34-C785966E5C77}"/>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32" name="Shape 3">
          <a:extLst>
            <a:ext uri="{FF2B5EF4-FFF2-40B4-BE49-F238E27FC236}">
              <a16:creationId xmlns:a16="http://schemas.microsoft.com/office/drawing/2014/main" id="{C63D0984-7D40-419E-9182-B2EEDDB62EF0}"/>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33" name="Shape 3">
          <a:extLst>
            <a:ext uri="{FF2B5EF4-FFF2-40B4-BE49-F238E27FC236}">
              <a16:creationId xmlns:a16="http://schemas.microsoft.com/office/drawing/2014/main" id="{55A00F67-9223-41D8-97FA-BE575918E1A2}"/>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34" name="Shape 3">
          <a:extLst>
            <a:ext uri="{FF2B5EF4-FFF2-40B4-BE49-F238E27FC236}">
              <a16:creationId xmlns:a16="http://schemas.microsoft.com/office/drawing/2014/main" id="{3B0833E0-1FA1-43DC-8EE9-EEA8BAC1B325}"/>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35" name="Shape 3">
          <a:extLst>
            <a:ext uri="{FF2B5EF4-FFF2-40B4-BE49-F238E27FC236}">
              <a16:creationId xmlns:a16="http://schemas.microsoft.com/office/drawing/2014/main" id="{0AF3AEA3-31A6-41F7-A6E8-B3C293C71CDD}"/>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36" name="Shape 3">
          <a:extLst>
            <a:ext uri="{FF2B5EF4-FFF2-40B4-BE49-F238E27FC236}">
              <a16:creationId xmlns:a16="http://schemas.microsoft.com/office/drawing/2014/main" id="{4FE944AF-F4E7-4F55-8788-0667FE6A4FE8}"/>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37" name="Shape 3">
          <a:extLst>
            <a:ext uri="{FF2B5EF4-FFF2-40B4-BE49-F238E27FC236}">
              <a16:creationId xmlns:a16="http://schemas.microsoft.com/office/drawing/2014/main" id="{2C6E4071-4B4E-499A-A1F2-4128AE06B591}"/>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38" name="Shape 3">
          <a:extLst>
            <a:ext uri="{FF2B5EF4-FFF2-40B4-BE49-F238E27FC236}">
              <a16:creationId xmlns:a16="http://schemas.microsoft.com/office/drawing/2014/main" id="{46A27311-E607-4926-B213-33AD2DE1ADA6}"/>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39" name="Shape 3">
          <a:extLst>
            <a:ext uri="{FF2B5EF4-FFF2-40B4-BE49-F238E27FC236}">
              <a16:creationId xmlns:a16="http://schemas.microsoft.com/office/drawing/2014/main" id="{D3278195-0B19-4030-92BE-4D1ED8DD97FA}"/>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40" name="Shape 3">
          <a:extLst>
            <a:ext uri="{FF2B5EF4-FFF2-40B4-BE49-F238E27FC236}">
              <a16:creationId xmlns:a16="http://schemas.microsoft.com/office/drawing/2014/main" id="{E6F0DB69-B4F8-4B6C-9052-91A73BE38EC0}"/>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41" name="Shape 3">
          <a:extLst>
            <a:ext uri="{FF2B5EF4-FFF2-40B4-BE49-F238E27FC236}">
              <a16:creationId xmlns:a16="http://schemas.microsoft.com/office/drawing/2014/main" id="{6CE84A65-5918-4AA5-8180-8F44AA51CA98}"/>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42" name="Shape 3">
          <a:extLst>
            <a:ext uri="{FF2B5EF4-FFF2-40B4-BE49-F238E27FC236}">
              <a16:creationId xmlns:a16="http://schemas.microsoft.com/office/drawing/2014/main" id="{051F1897-C98E-41DA-B091-CCB357B163E4}"/>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43" name="Shape 3">
          <a:extLst>
            <a:ext uri="{FF2B5EF4-FFF2-40B4-BE49-F238E27FC236}">
              <a16:creationId xmlns:a16="http://schemas.microsoft.com/office/drawing/2014/main" id="{B74E6023-534B-4997-B674-6B6AC4DA1DEE}"/>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44" name="Shape 3">
          <a:extLst>
            <a:ext uri="{FF2B5EF4-FFF2-40B4-BE49-F238E27FC236}">
              <a16:creationId xmlns:a16="http://schemas.microsoft.com/office/drawing/2014/main" id="{FF5650FF-C5CA-4C2D-903B-DA8B616CA69E}"/>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45" name="Shape 3">
          <a:extLst>
            <a:ext uri="{FF2B5EF4-FFF2-40B4-BE49-F238E27FC236}">
              <a16:creationId xmlns:a16="http://schemas.microsoft.com/office/drawing/2014/main" id="{EF6239B3-B46D-4DCC-9781-3CDBBC9C61BA}"/>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46" name="Shape 3">
          <a:extLst>
            <a:ext uri="{FF2B5EF4-FFF2-40B4-BE49-F238E27FC236}">
              <a16:creationId xmlns:a16="http://schemas.microsoft.com/office/drawing/2014/main" id="{7DEF3CD2-227F-4878-ABE0-792AC9E5AD49}"/>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47" name="Shape 3">
          <a:extLst>
            <a:ext uri="{FF2B5EF4-FFF2-40B4-BE49-F238E27FC236}">
              <a16:creationId xmlns:a16="http://schemas.microsoft.com/office/drawing/2014/main" id="{BCEEC9E7-E049-4603-8D9F-7754C4907543}"/>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48" name="Shape 3">
          <a:extLst>
            <a:ext uri="{FF2B5EF4-FFF2-40B4-BE49-F238E27FC236}">
              <a16:creationId xmlns:a16="http://schemas.microsoft.com/office/drawing/2014/main" id="{AD362139-06AA-4D92-9102-72015B0444DE}"/>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49" name="Shape 3">
          <a:extLst>
            <a:ext uri="{FF2B5EF4-FFF2-40B4-BE49-F238E27FC236}">
              <a16:creationId xmlns:a16="http://schemas.microsoft.com/office/drawing/2014/main" id="{BEE31F27-7E37-48B6-B28C-5C48E36E6DC3}"/>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50" name="Shape 3">
          <a:extLst>
            <a:ext uri="{FF2B5EF4-FFF2-40B4-BE49-F238E27FC236}">
              <a16:creationId xmlns:a16="http://schemas.microsoft.com/office/drawing/2014/main" id="{8F0DABD2-8A72-476F-A717-3CE626B3D073}"/>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51" name="Shape 3">
          <a:extLst>
            <a:ext uri="{FF2B5EF4-FFF2-40B4-BE49-F238E27FC236}">
              <a16:creationId xmlns:a16="http://schemas.microsoft.com/office/drawing/2014/main" id="{464AF75B-4F6A-4B73-BCAF-BDC94D78371C}"/>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52" name="Shape 3">
          <a:extLst>
            <a:ext uri="{FF2B5EF4-FFF2-40B4-BE49-F238E27FC236}">
              <a16:creationId xmlns:a16="http://schemas.microsoft.com/office/drawing/2014/main" id="{C76A73EC-2541-408F-AE99-D4A206A99AD7}"/>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53" name="Shape 3">
          <a:extLst>
            <a:ext uri="{FF2B5EF4-FFF2-40B4-BE49-F238E27FC236}">
              <a16:creationId xmlns:a16="http://schemas.microsoft.com/office/drawing/2014/main" id="{B21536BB-E82E-44F4-8B21-0A22B9D07E09}"/>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54" name="Shape 3">
          <a:extLst>
            <a:ext uri="{FF2B5EF4-FFF2-40B4-BE49-F238E27FC236}">
              <a16:creationId xmlns:a16="http://schemas.microsoft.com/office/drawing/2014/main" id="{33AE2FFB-59C4-4F1B-8339-EFAEE874E2F3}"/>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55" name="Shape 3">
          <a:extLst>
            <a:ext uri="{FF2B5EF4-FFF2-40B4-BE49-F238E27FC236}">
              <a16:creationId xmlns:a16="http://schemas.microsoft.com/office/drawing/2014/main" id="{C81935A8-4C73-47F4-916E-EEB17FC76AFD}"/>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56" name="Shape 3">
          <a:extLst>
            <a:ext uri="{FF2B5EF4-FFF2-40B4-BE49-F238E27FC236}">
              <a16:creationId xmlns:a16="http://schemas.microsoft.com/office/drawing/2014/main" id="{DD7027D8-4E15-4DA0-BCB6-31E548BE19E1}"/>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57" name="Shape 3">
          <a:extLst>
            <a:ext uri="{FF2B5EF4-FFF2-40B4-BE49-F238E27FC236}">
              <a16:creationId xmlns:a16="http://schemas.microsoft.com/office/drawing/2014/main" id="{D2CD3116-8ADD-40EC-914E-A83A12B64015}"/>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58" name="Shape 3">
          <a:extLst>
            <a:ext uri="{FF2B5EF4-FFF2-40B4-BE49-F238E27FC236}">
              <a16:creationId xmlns:a16="http://schemas.microsoft.com/office/drawing/2014/main" id="{31601337-A54E-4B9A-8C77-194352786522}"/>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59" name="Shape 3">
          <a:extLst>
            <a:ext uri="{FF2B5EF4-FFF2-40B4-BE49-F238E27FC236}">
              <a16:creationId xmlns:a16="http://schemas.microsoft.com/office/drawing/2014/main" id="{DABF7F0E-B3CF-42C7-A929-A72FAC2524EA}"/>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60" name="Shape 3">
          <a:extLst>
            <a:ext uri="{FF2B5EF4-FFF2-40B4-BE49-F238E27FC236}">
              <a16:creationId xmlns:a16="http://schemas.microsoft.com/office/drawing/2014/main" id="{F27A4CC7-81CB-4096-8C9D-B7D7F3AB0C1B}"/>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61" name="Shape 3">
          <a:extLst>
            <a:ext uri="{FF2B5EF4-FFF2-40B4-BE49-F238E27FC236}">
              <a16:creationId xmlns:a16="http://schemas.microsoft.com/office/drawing/2014/main" id="{2DE55653-BE5B-4868-9C19-97961A21C1CA}"/>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62" name="Shape 3">
          <a:extLst>
            <a:ext uri="{FF2B5EF4-FFF2-40B4-BE49-F238E27FC236}">
              <a16:creationId xmlns:a16="http://schemas.microsoft.com/office/drawing/2014/main" id="{459411C9-8B9D-4171-B2B8-891A498184F4}"/>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63" name="Shape 3">
          <a:extLst>
            <a:ext uri="{FF2B5EF4-FFF2-40B4-BE49-F238E27FC236}">
              <a16:creationId xmlns:a16="http://schemas.microsoft.com/office/drawing/2014/main" id="{F77DD7FD-9BD1-4665-AAEE-17083F772BF1}"/>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64" name="Shape 3">
          <a:extLst>
            <a:ext uri="{FF2B5EF4-FFF2-40B4-BE49-F238E27FC236}">
              <a16:creationId xmlns:a16="http://schemas.microsoft.com/office/drawing/2014/main" id="{5968CE3A-BCE5-43BF-961C-10AA4B53AE7C}"/>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65" name="Shape 3">
          <a:extLst>
            <a:ext uri="{FF2B5EF4-FFF2-40B4-BE49-F238E27FC236}">
              <a16:creationId xmlns:a16="http://schemas.microsoft.com/office/drawing/2014/main" id="{B6555505-A551-4BE1-86C4-307388714F1A}"/>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66" name="Shape 3">
          <a:extLst>
            <a:ext uri="{FF2B5EF4-FFF2-40B4-BE49-F238E27FC236}">
              <a16:creationId xmlns:a16="http://schemas.microsoft.com/office/drawing/2014/main" id="{3FC1D764-03B4-450C-A816-85149EC33014}"/>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67" name="Shape 3">
          <a:extLst>
            <a:ext uri="{FF2B5EF4-FFF2-40B4-BE49-F238E27FC236}">
              <a16:creationId xmlns:a16="http://schemas.microsoft.com/office/drawing/2014/main" id="{E2CA13F1-13FF-4CF4-9492-F4CCFBEC514D}"/>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68" name="Shape 3">
          <a:extLst>
            <a:ext uri="{FF2B5EF4-FFF2-40B4-BE49-F238E27FC236}">
              <a16:creationId xmlns:a16="http://schemas.microsoft.com/office/drawing/2014/main" id="{50E08919-07E4-483F-A13A-CC9F00AEEEAF}"/>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69" name="Shape 3">
          <a:extLst>
            <a:ext uri="{FF2B5EF4-FFF2-40B4-BE49-F238E27FC236}">
              <a16:creationId xmlns:a16="http://schemas.microsoft.com/office/drawing/2014/main" id="{EFE31821-7CCD-4E73-82E0-BA68D1192567}"/>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70" name="Shape 3">
          <a:extLst>
            <a:ext uri="{FF2B5EF4-FFF2-40B4-BE49-F238E27FC236}">
              <a16:creationId xmlns:a16="http://schemas.microsoft.com/office/drawing/2014/main" id="{F0B7FCE4-D3B8-4EEE-98F2-CD8C958D2352}"/>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71" name="Shape 3">
          <a:extLst>
            <a:ext uri="{FF2B5EF4-FFF2-40B4-BE49-F238E27FC236}">
              <a16:creationId xmlns:a16="http://schemas.microsoft.com/office/drawing/2014/main" id="{30657714-48F4-483A-AB0C-2CD309F51751}"/>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72" name="Shape 3">
          <a:extLst>
            <a:ext uri="{FF2B5EF4-FFF2-40B4-BE49-F238E27FC236}">
              <a16:creationId xmlns:a16="http://schemas.microsoft.com/office/drawing/2014/main" id="{3F8FB34B-A91C-4092-8457-212F15D5AE32}"/>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73" name="Shape 3">
          <a:extLst>
            <a:ext uri="{FF2B5EF4-FFF2-40B4-BE49-F238E27FC236}">
              <a16:creationId xmlns:a16="http://schemas.microsoft.com/office/drawing/2014/main" id="{89C0270F-6232-4193-B0B1-76B1BE5FB157}"/>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74" name="Shape 3">
          <a:extLst>
            <a:ext uri="{FF2B5EF4-FFF2-40B4-BE49-F238E27FC236}">
              <a16:creationId xmlns:a16="http://schemas.microsoft.com/office/drawing/2014/main" id="{83839695-96BC-4F87-8FE3-C7B87F6866A8}"/>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75" name="Shape 3">
          <a:extLst>
            <a:ext uri="{FF2B5EF4-FFF2-40B4-BE49-F238E27FC236}">
              <a16:creationId xmlns:a16="http://schemas.microsoft.com/office/drawing/2014/main" id="{4F4D7D11-BB61-4406-A020-3B8B6B913367}"/>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76" name="Shape 3">
          <a:extLst>
            <a:ext uri="{FF2B5EF4-FFF2-40B4-BE49-F238E27FC236}">
              <a16:creationId xmlns:a16="http://schemas.microsoft.com/office/drawing/2014/main" id="{D045B6B3-36C7-44B0-9B9D-699428DC177F}"/>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77" name="Shape 3">
          <a:extLst>
            <a:ext uri="{FF2B5EF4-FFF2-40B4-BE49-F238E27FC236}">
              <a16:creationId xmlns:a16="http://schemas.microsoft.com/office/drawing/2014/main" id="{FB205BC1-13EE-495D-93ED-5A5C43CBABBE}"/>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78" name="Shape 3">
          <a:extLst>
            <a:ext uri="{FF2B5EF4-FFF2-40B4-BE49-F238E27FC236}">
              <a16:creationId xmlns:a16="http://schemas.microsoft.com/office/drawing/2014/main" id="{9FBD2BDB-FBE1-4FAC-9EE2-CA15AAC96C29}"/>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79" name="Shape 3">
          <a:extLst>
            <a:ext uri="{FF2B5EF4-FFF2-40B4-BE49-F238E27FC236}">
              <a16:creationId xmlns:a16="http://schemas.microsoft.com/office/drawing/2014/main" id="{F81C3916-7126-4393-94B4-79ED99F96CCC}"/>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80" name="Shape 3">
          <a:extLst>
            <a:ext uri="{FF2B5EF4-FFF2-40B4-BE49-F238E27FC236}">
              <a16:creationId xmlns:a16="http://schemas.microsoft.com/office/drawing/2014/main" id="{85F00D6C-B5C2-4FBE-A765-5E55F738D423}"/>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81" name="Shape 3">
          <a:extLst>
            <a:ext uri="{FF2B5EF4-FFF2-40B4-BE49-F238E27FC236}">
              <a16:creationId xmlns:a16="http://schemas.microsoft.com/office/drawing/2014/main" id="{FB200E51-7479-4790-86E0-83869294985E}"/>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82" name="Shape 3">
          <a:extLst>
            <a:ext uri="{FF2B5EF4-FFF2-40B4-BE49-F238E27FC236}">
              <a16:creationId xmlns:a16="http://schemas.microsoft.com/office/drawing/2014/main" id="{1826D8D9-1163-4033-8D6A-2FEC260299B1}"/>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83" name="Shape 3">
          <a:extLst>
            <a:ext uri="{FF2B5EF4-FFF2-40B4-BE49-F238E27FC236}">
              <a16:creationId xmlns:a16="http://schemas.microsoft.com/office/drawing/2014/main" id="{4F99C047-8E83-4DC0-BFAF-44A468CE6DE8}"/>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84" name="Shape 3">
          <a:extLst>
            <a:ext uri="{FF2B5EF4-FFF2-40B4-BE49-F238E27FC236}">
              <a16:creationId xmlns:a16="http://schemas.microsoft.com/office/drawing/2014/main" id="{F2019D7B-120C-4037-9504-E5DAB1F18E41}"/>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85" name="Shape 3">
          <a:extLst>
            <a:ext uri="{FF2B5EF4-FFF2-40B4-BE49-F238E27FC236}">
              <a16:creationId xmlns:a16="http://schemas.microsoft.com/office/drawing/2014/main" id="{090FA998-EC91-4D2E-AFFD-69271721E672}"/>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86" name="Shape 3">
          <a:extLst>
            <a:ext uri="{FF2B5EF4-FFF2-40B4-BE49-F238E27FC236}">
              <a16:creationId xmlns:a16="http://schemas.microsoft.com/office/drawing/2014/main" id="{28F049CE-F45E-442E-A373-8C451F43935C}"/>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87" name="Shape 3">
          <a:extLst>
            <a:ext uri="{FF2B5EF4-FFF2-40B4-BE49-F238E27FC236}">
              <a16:creationId xmlns:a16="http://schemas.microsoft.com/office/drawing/2014/main" id="{B2F353F6-1C40-4DEE-A975-8414F1751AF9}"/>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88" name="Shape 3">
          <a:extLst>
            <a:ext uri="{FF2B5EF4-FFF2-40B4-BE49-F238E27FC236}">
              <a16:creationId xmlns:a16="http://schemas.microsoft.com/office/drawing/2014/main" id="{99B2822A-701B-4AD7-ADED-689BB8E4ED40}"/>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89" name="Shape 3">
          <a:extLst>
            <a:ext uri="{FF2B5EF4-FFF2-40B4-BE49-F238E27FC236}">
              <a16:creationId xmlns:a16="http://schemas.microsoft.com/office/drawing/2014/main" id="{73109291-25DD-4A18-8008-BE50047E0CC5}"/>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90" name="Shape 3">
          <a:extLst>
            <a:ext uri="{FF2B5EF4-FFF2-40B4-BE49-F238E27FC236}">
              <a16:creationId xmlns:a16="http://schemas.microsoft.com/office/drawing/2014/main" id="{5014AECB-4369-43CD-8C26-3C883FA3AA71}"/>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91" name="Shape 3">
          <a:extLst>
            <a:ext uri="{FF2B5EF4-FFF2-40B4-BE49-F238E27FC236}">
              <a16:creationId xmlns:a16="http://schemas.microsoft.com/office/drawing/2014/main" id="{1CF1577F-C8FE-48DE-B9A7-F26CF5E283C8}"/>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92" name="Shape 3">
          <a:extLst>
            <a:ext uri="{FF2B5EF4-FFF2-40B4-BE49-F238E27FC236}">
              <a16:creationId xmlns:a16="http://schemas.microsoft.com/office/drawing/2014/main" id="{0B6211EF-FBD8-4A7F-8335-9237F0960B4E}"/>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93" name="Shape 3">
          <a:extLst>
            <a:ext uri="{FF2B5EF4-FFF2-40B4-BE49-F238E27FC236}">
              <a16:creationId xmlns:a16="http://schemas.microsoft.com/office/drawing/2014/main" id="{26008FFC-1522-4607-BB32-B91D9B7B3915}"/>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94" name="Shape 3">
          <a:extLst>
            <a:ext uri="{FF2B5EF4-FFF2-40B4-BE49-F238E27FC236}">
              <a16:creationId xmlns:a16="http://schemas.microsoft.com/office/drawing/2014/main" id="{EF079286-8D19-4506-A9FD-1F708AD91B49}"/>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95" name="Shape 3">
          <a:extLst>
            <a:ext uri="{FF2B5EF4-FFF2-40B4-BE49-F238E27FC236}">
              <a16:creationId xmlns:a16="http://schemas.microsoft.com/office/drawing/2014/main" id="{EEDB9464-B6F5-4A1D-94DF-647DCFE56618}"/>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96" name="Shape 3">
          <a:extLst>
            <a:ext uri="{FF2B5EF4-FFF2-40B4-BE49-F238E27FC236}">
              <a16:creationId xmlns:a16="http://schemas.microsoft.com/office/drawing/2014/main" id="{A05CCF28-A4D9-4DCD-9050-8321FE1E0862}"/>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97" name="Shape 3">
          <a:extLst>
            <a:ext uri="{FF2B5EF4-FFF2-40B4-BE49-F238E27FC236}">
              <a16:creationId xmlns:a16="http://schemas.microsoft.com/office/drawing/2014/main" id="{CE40C121-EF49-4408-9D43-4785010690A7}"/>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98" name="Shape 3">
          <a:extLst>
            <a:ext uri="{FF2B5EF4-FFF2-40B4-BE49-F238E27FC236}">
              <a16:creationId xmlns:a16="http://schemas.microsoft.com/office/drawing/2014/main" id="{00D996AE-8A58-4762-8745-F3CE670FC18A}"/>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299" name="Shape 3">
          <a:extLst>
            <a:ext uri="{FF2B5EF4-FFF2-40B4-BE49-F238E27FC236}">
              <a16:creationId xmlns:a16="http://schemas.microsoft.com/office/drawing/2014/main" id="{30F80096-C5E7-4A52-BEFE-3675447C59C9}"/>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300" name="Shape 3">
          <a:extLst>
            <a:ext uri="{FF2B5EF4-FFF2-40B4-BE49-F238E27FC236}">
              <a16:creationId xmlns:a16="http://schemas.microsoft.com/office/drawing/2014/main" id="{9B6F6D62-9177-4C2B-8054-8EA647A4F6FD}"/>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27</xdr:col>
      <xdr:colOff>0</xdr:colOff>
      <xdr:row>1</xdr:row>
      <xdr:rowOff>0</xdr:rowOff>
    </xdr:from>
    <xdr:ext cx="190500" cy="266700"/>
    <xdr:sp macro="" textlink="">
      <xdr:nvSpPr>
        <xdr:cNvPr id="301" name="Shape 3">
          <a:extLst>
            <a:ext uri="{FF2B5EF4-FFF2-40B4-BE49-F238E27FC236}">
              <a16:creationId xmlns:a16="http://schemas.microsoft.com/office/drawing/2014/main" id="{A7EA17C6-2D77-422D-AB46-326E18B7C6E6}"/>
            </a:ext>
          </a:extLst>
        </xdr:cNvPr>
        <xdr:cNvSpPr txBox="1"/>
      </xdr:nvSpPr>
      <xdr:spPr>
        <a:xfrm>
          <a:off x="16487775" y="3143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02" name="Shape 3">
          <a:extLst>
            <a:ext uri="{FF2B5EF4-FFF2-40B4-BE49-F238E27FC236}">
              <a16:creationId xmlns:a16="http://schemas.microsoft.com/office/drawing/2014/main" id="{7E3FB7BF-40F0-46AB-9E47-AC1A11961D97}"/>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03" name="Shape 3">
          <a:extLst>
            <a:ext uri="{FF2B5EF4-FFF2-40B4-BE49-F238E27FC236}">
              <a16:creationId xmlns:a16="http://schemas.microsoft.com/office/drawing/2014/main" id="{945D399E-8C60-4C6D-BA6F-E31712251689}"/>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04" name="Shape 3">
          <a:extLst>
            <a:ext uri="{FF2B5EF4-FFF2-40B4-BE49-F238E27FC236}">
              <a16:creationId xmlns:a16="http://schemas.microsoft.com/office/drawing/2014/main" id="{AD97F9F8-C696-47C5-AEF1-E1924204E4A4}"/>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05" name="Shape 3">
          <a:extLst>
            <a:ext uri="{FF2B5EF4-FFF2-40B4-BE49-F238E27FC236}">
              <a16:creationId xmlns:a16="http://schemas.microsoft.com/office/drawing/2014/main" id="{7A7E0FE2-2502-499B-8683-E0910F850A2D}"/>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06" name="Shape 3">
          <a:extLst>
            <a:ext uri="{FF2B5EF4-FFF2-40B4-BE49-F238E27FC236}">
              <a16:creationId xmlns:a16="http://schemas.microsoft.com/office/drawing/2014/main" id="{7909A35F-3933-4509-A789-BBE33B3F298B}"/>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07" name="Shape 3">
          <a:extLst>
            <a:ext uri="{FF2B5EF4-FFF2-40B4-BE49-F238E27FC236}">
              <a16:creationId xmlns:a16="http://schemas.microsoft.com/office/drawing/2014/main" id="{663CD5AC-53EE-402D-8885-DB9C6BBFDD99}"/>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08" name="Shape 3">
          <a:extLst>
            <a:ext uri="{FF2B5EF4-FFF2-40B4-BE49-F238E27FC236}">
              <a16:creationId xmlns:a16="http://schemas.microsoft.com/office/drawing/2014/main" id="{601A0389-1F5B-4203-A01B-1F49F7C14512}"/>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09" name="Shape 3">
          <a:extLst>
            <a:ext uri="{FF2B5EF4-FFF2-40B4-BE49-F238E27FC236}">
              <a16:creationId xmlns:a16="http://schemas.microsoft.com/office/drawing/2014/main" id="{AEEF0764-D4B2-4D3D-8331-0767902D2E63}"/>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10" name="Shape 3">
          <a:extLst>
            <a:ext uri="{FF2B5EF4-FFF2-40B4-BE49-F238E27FC236}">
              <a16:creationId xmlns:a16="http://schemas.microsoft.com/office/drawing/2014/main" id="{04A97A0D-DCF6-4C30-8735-3CD35EC6CD84}"/>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11" name="Shape 3">
          <a:extLst>
            <a:ext uri="{FF2B5EF4-FFF2-40B4-BE49-F238E27FC236}">
              <a16:creationId xmlns:a16="http://schemas.microsoft.com/office/drawing/2014/main" id="{9A8FE310-D272-4D72-9E88-7A5D5F895719}"/>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12" name="Shape 3">
          <a:extLst>
            <a:ext uri="{FF2B5EF4-FFF2-40B4-BE49-F238E27FC236}">
              <a16:creationId xmlns:a16="http://schemas.microsoft.com/office/drawing/2014/main" id="{1D12EDCE-2F0C-4D05-8A0F-9013181F9413}"/>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13" name="Shape 3">
          <a:extLst>
            <a:ext uri="{FF2B5EF4-FFF2-40B4-BE49-F238E27FC236}">
              <a16:creationId xmlns:a16="http://schemas.microsoft.com/office/drawing/2014/main" id="{78912699-229D-4B83-A6F5-5FA78C52E3C7}"/>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14" name="Shape 3">
          <a:extLst>
            <a:ext uri="{FF2B5EF4-FFF2-40B4-BE49-F238E27FC236}">
              <a16:creationId xmlns:a16="http://schemas.microsoft.com/office/drawing/2014/main" id="{42FA8369-7BD6-4D09-A4ED-B5E97DC35946}"/>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15" name="Shape 3">
          <a:extLst>
            <a:ext uri="{FF2B5EF4-FFF2-40B4-BE49-F238E27FC236}">
              <a16:creationId xmlns:a16="http://schemas.microsoft.com/office/drawing/2014/main" id="{FCAA2E4B-77FA-4AB7-B7DD-494901FBC6F6}"/>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16" name="Shape 3">
          <a:extLst>
            <a:ext uri="{FF2B5EF4-FFF2-40B4-BE49-F238E27FC236}">
              <a16:creationId xmlns:a16="http://schemas.microsoft.com/office/drawing/2014/main" id="{D341FC0F-F859-4757-B496-1FA79BE5F4EB}"/>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17" name="Shape 3">
          <a:extLst>
            <a:ext uri="{FF2B5EF4-FFF2-40B4-BE49-F238E27FC236}">
              <a16:creationId xmlns:a16="http://schemas.microsoft.com/office/drawing/2014/main" id="{C4E323AC-F44A-4115-BD1B-9D2DA1B5AEC8}"/>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18" name="Shape 3">
          <a:extLst>
            <a:ext uri="{FF2B5EF4-FFF2-40B4-BE49-F238E27FC236}">
              <a16:creationId xmlns:a16="http://schemas.microsoft.com/office/drawing/2014/main" id="{74B605A5-E05B-41E8-99A4-CB1DD37AA38C}"/>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19" name="Shape 3">
          <a:extLst>
            <a:ext uri="{FF2B5EF4-FFF2-40B4-BE49-F238E27FC236}">
              <a16:creationId xmlns:a16="http://schemas.microsoft.com/office/drawing/2014/main" id="{39F63B6C-608E-4C7F-9303-9FD9A8796A33}"/>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20" name="Shape 3">
          <a:extLst>
            <a:ext uri="{FF2B5EF4-FFF2-40B4-BE49-F238E27FC236}">
              <a16:creationId xmlns:a16="http://schemas.microsoft.com/office/drawing/2014/main" id="{082C198C-DDC0-4C08-A682-1F694B1E002B}"/>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21" name="Shape 3">
          <a:extLst>
            <a:ext uri="{FF2B5EF4-FFF2-40B4-BE49-F238E27FC236}">
              <a16:creationId xmlns:a16="http://schemas.microsoft.com/office/drawing/2014/main" id="{E335BF7D-3700-43A4-B870-AE60B88283F7}"/>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22" name="Shape 3">
          <a:extLst>
            <a:ext uri="{FF2B5EF4-FFF2-40B4-BE49-F238E27FC236}">
              <a16:creationId xmlns:a16="http://schemas.microsoft.com/office/drawing/2014/main" id="{DFD9C477-8775-4EEE-9772-4ABABAEDEFB1}"/>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23" name="Shape 3">
          <a:extLst>
            <a:ext uri="{FF2B5EF4-FFF2-40B4-BE49-F238E27FC236}">
              <a16:creationId xmlns:a16="http://schemas.microsoft.com/office/drawing/2014/main" id="{33234ECD-229B-4BD0-B46E-379B4CB38BFD}"/>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24" name="Shape 3">
          <a:extLst>
            <a:ext uri="{FF2B5EF4-FFF2-40B4-BE49-F238E27FC236}">
              <a16:creationId xmlns:a16="http://schemas.microsoft.com/office/drawing/2014/main" id="{7F747C9C-F13F-487D-96E3-3DEAC84BBF40}"/>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25" name="Shape 3">
          <a:extLst>
            <a:ext uri="{FF2B5EF4-FFF2-40B4-BE49-F238E27FC236}">
              <a16:creationId xmlns:a16="http://schemas.microsoft.com/office/drawing/2014/main" id="{FA30ECF0-1DFF-454F-9723-07D11A8FC92E}"/>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26" name="Shape 3">
          <a:extLst>
            <a:ext uri="{FF2B5EF4-FFF2-40B4-BE49-F238E27FC236}">
              <a16:creationId xmlns:a16="http://schemas.microsoft.com/office/drawing/2014/main" id="{19011E5A-D89C-49B6-947E-24456E1FC17A}"/>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27" name="Shape 3">
          <a:extLst>
            <a:ext uri="{FF2B5EF4-FFF2-40B4-BE49-F238E27FC236}">
              <a16:creationId xmlns:a16="http://schemas.microsoft.com/office/drawing/2014/main" id="{4CE0F5C0-0B5D-4F3F-B631-ADB18C072CC2}"/>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28" name="Shape 3">
          <a:extLst>
            <a:ext uri="{FF2B5EF4-FFF2-40B4-BE49-F238E27FC236}">
              <a16:creationId xmlns:a16="http://schemas.microsoft.com/office/drawing/2014/main" id="{BC830B6C-14B9-4E87-BDAB-60217EB795C5}"/>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29" name="Shape 3">
          <a:extLst>
            <a:ext uri="{FF2B5EF4-FFF2-40B4-BE49-F238E27FC236}">
              <a16:creationId xmlns:a16="http://schemas.microsoft.com/office/drawing/2014/main" id="{9ACC31D3-3282-4F0C-9D42-A340907EF130}"/>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30" name="Shape 3">
          <a:extLst>
            <a:ext uri="{FF2B5EF4-FFF2-40B4-BE49-F238E27FC236}">
              <a16:creationId xmlns:a16="http://schemas.microsoft.com/office/drawing/2014/main" id="{341E561C-E889-4EA3-9B54-2248B0EE9C60}"/>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31" name="Shape 3">
          <a:extLst>
            <a:ext uri="{FF2B5EF4-FFF2-40B4-BE49-F238E27FC236}">
              <a16:creationId xmlns:a16="http://schemas.microsoft.com/office/drawing/2014/main" id="{C5F11BA6-5D4B-47FE-AA61-C4629A6A1D7D}"/>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32" name="Shape 3">
          <a:extLst>
            <a:ext uri="{FF2B5EF4-FFF2-40B4-BE49-F238E27FC236}">
              <a16:creationId xmlns:a16="http://schemas.microsoft.com/office/drawing/2014/main" id="{C14078FF-371B-41A4-B50B-61F8E5EBEB9F}"/>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33" name="Shape 3">
          <a:extLst>
            <a:ext uri="{FF2B5EF4-FFF2-40B4-BE49-F238E27FC236}">
              <a16:creationId xmlns:a16="http://schemas.microsoft.com/office/drawing/2014/main" id="{4521F37A-A9AC-4602-9373-E57B02A38213}"/>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34" name="Shape 3">
          <a:extLst>
            <a:ext uri="{FF2B5EF4-FFF2-40B4-BE49-F238E27FC236}">
              <a16:creationId xmlns:a16="http://schemas.microsoft.com/office/drawing/2014/main" id="{A68DB3AE-B6C6-49BC-B2B4-6C535C17052B}"/>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35" name="Shape 3">
          <a:extLst>
            <a:ext uri="{FF2B5EF4-FFF2-40B4-BE49-F238E27FC236}">
              <a16:creationId xmlns:a16="http://schemas.microsoft.com/office/drawing/2014/main" id="{D1292155-DA37-498C-8A18-507F637F4FA3}"/>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36" name="Shape 3">
          <a:extLst>
            <a:ext uri="{FF2B5EF4-FFF2-40B4-BE49-F238E27FC236}">
              <a16:creationId xmlns:a16="http://schemas.microsoft.com/office/drawing/2014/main" id="{7926EBFD-47B8-44D1-872F-33879AE3FFBB}"/>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37" name="Shape 3">
          <a:extLst>
            <a:ext uri="{FF2B5EF4-FFF2-40B4-BE49-F238E27FC236}">
              <a16:creationId xmlns:a16="http://schemas.microsoft.com/office/drawing/2014/main" id="{C1B8B1C5-C462-421A-B725-26F7E57B749A}"/>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38" name="Shape 3">
          <a:extLst>
            <a:ext uri="{FF2B5EF4-FFF2-40B4-BE49-F238E27FC236}">
              <a16:creationId xmlns:a16="http://schemas.microsoft.com/office/drawing/2014/main" id="{19841528-1B38-404B-9077-50C1A81D5B6C}"/>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39" name="Shape 3">
          <a:extLst>
            <a:ext uri="{FF2B5EF4-FFF2-40B4-BE49-F238E27FC236}">
              <a16:creationId xmlns:a16="http://schemas.microsoft.com/office/drawing/2014/main" id="{B9DE694A-F43C-4F7A-A14A-6433D9514C7C}"/>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40" name="Shape 3">
          <a:extLst>
            <a:ext uri="{FF2B5EF4-FFF2-40B4-BE49-F238E27FC236}">
              <a16:creationId xmlns:a16="http://schemas.microsoft.com/office/drawing/2014/main" id="{E0ADD186-A0FB-4FC8-9ED2-6B46383C3604}"/>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41" name="Shape 3">
          <a:extLst>
            <a:ext uri="{FF2B5EF4-FFF2-40B4-BE49-F238E27FC236}">
              <a16:creationId xmlns:a16="http://schemas.microsoft.com/office/drawing/2014/main" id="{E5ECE580-9BBD-4F27-B5E1-E1AE4D8DEE95}"/>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42" name="Shape 3">
          <a:extLst>
            <a:ext uri="{FF2B5EF4-FFF2-40B4-BE49-F238E27FC236}">
              <a16:creationId xmlns:a16="http://schemas.microsoft.com/office/drawing/2014/main" id="{CCB57F70-6168-4910-941E-B267F18BB0BA}"/>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43" name="Shape 3">
          <a:extLst>
            <a:ext uri="{FF2B5EF4-FFF2-40B4-BE49-F238E27FC236}">
              <a16:creationId xmlns:a16="http://schemas.microsoft.com/office/drawing/2014/main" id="{58F6D976-51E3-4726-B3F5-10DE8F06727A}"/>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44" name="Shape 3">
          <a:extLst>
            <a:ext uri="{FF2B5EF4-FFF2-40B4-BE49-F238E27FC236}">
              <a16:creationId xmlns:a16="http://schemas.microsoft.com/office/drawing/2014/main" id="{A6F765C6-C55D-4086-A223-B0622D159773}"/>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45" name="Shape 3">
          <a:extLst>
            <a:ext uri="{FF2B5EF4-FFF2-40B4-BE49-F238E27FC236}">
              <a16:creationId xmlns:a16="http://schemas.microsoft.com/office/drawing/2014/main" id="{5E419FA7-FB73-4A41-BF42-4714BA93304C}"/>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46" name="Shape 3">
          <a:extLst>
            <a:ext uri="{FF2B5EF4-FFF2-40B4-BE49-F238E27FC236}">
              <a16:creationId xmlns:a16="http://schemas.microsoft.com/office/drawing/2014/main" id="{4FB7DB88-ADB1-45C8-A2B9-0ADAD10443E9}"/>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47" name="Shape 3">
          <a:extLst>
            <a:ext uri="{FF2B5EF4-FFF2-40B4-BE49-F238E27FC236}">
              <a16:creationId xmlns:a16="http://schemas.microsoft.com/office/drawing/2014/main" id="{222E9971-360A-4B4C-8B6E-8FA90A8C7BA6}"/>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48" name="Shape 3">
          <a:extLst>
            <a:ext uri="{FF2B5EF4-FFF2-40B4-BE49-F238E27FC236}">
              <a16:creationId xmlns:a16="http://schemas.microsoft.com/office/drawing/2014/main" id="{6CDDE9DE-8856-44F6-8D65-6B2966D55C4F}"/>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49" name="Shape 3">
          <a:extLst>
            <a:ext uri="{FF2B5EF4-FFF2-40B4-BE49-F238E27FC236}">
              <a16:creationId xmlns:a16="http://schemas.microsoft.com/office/drawing/2014/main" id="{4CDDB506-66B2-4B6D-9089-F2140785AD61}"/>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50" name="Shape 3">
          <a:extLst>
            <a:ext uri="{FF2B5EF4-FFF2-40B4-BE49-F238E27FC236}">
              <a16:creationId xmlns:a16="http://schemas.microsoft.com/office/drawing/2014/main" id="{9CD18BDC-5593-4E6D-9EE8-E6C77B117AD0}"/>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51" name="Shape 3">
          <a:extLst>
            <a:ext uri="{FF2B5EF4-FFF2-40B4-BE49-F238E27FC236}">
              <a16:creationId xmlns:a16="http://schemas.microsoft.com/office/drawing/2014/main" id="{4839DF4C-482A-4AD6-ABAA-B9BFE53B6D10}"/>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52" name="Shape 3">
          <a:extLst>
            <a:ext uri="{FF2B5EF4-FFF2-40B4-BE49-F238E27FC236}">
              <a16:creationId xmlns:a16="http://schemas.microsoft.com/office/drawing/2014/main" id="{335B7629-7206-46F4-8D69-36FFE919311B}"/>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53" name="Shape 3">
          <a:extLst>
            <a:ext uri="{FF2B5EF4-FFF2-40B4-BE49-F238E27FC236}">
              <a16:creationId xmlns:a16="http://schemas.microsoft.com/office/drawing/2014/main" id="{D3FC5C6E-3DDF-4E13-A3A1-7CDE8C8FF9EE}"/>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54" name="Shape 3">
          <a:extLst>
            <a:ext uri="{FF2B5EF4-FFF2-40B4-BE49-F238E27FC236}">
              <a16:creationId xmlns:a16="http://schemas.microsoft.com/office/drawing/2014/main" id="{35B67EC1-7084-4B7A-826F-212795B43D6A}"/>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55" name="Shape 3">
          <a:extLst>
            <a:ext uri="{FF2B5EF4-FFF2-40B4-BE49-F238E27FC236}">
              <a16:creationId xmlns:a16="http://schemas.microsoft.com/office/drawing/2014/main" id="{1AA3D961-7022-480C-AE24-EAF729FA59A0}"/>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56" name="Shape 3">
          <a:extLst>
            <a:ext uri="{FF2B5EF4-FFF2-40B4-BE49-F238E27FC236}">
              <a16:creationId xmlns:a16="http://schemas.microsoft.com/office/drawing/2014/main" id="{6FFFD7F5-F116-4322-BF73-C93FB89F8F40}"/>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57" name="Shape 3">
          <a:extLst>
            <a:ext uri="{FF2B5EF4-FFF2-40B4-BE49-F238E27FC236}">
              <a16:creationId xmlns:a16="http://schemas.microsoft.com/office/drawing/2014/main" id="{D7A29637-0922-41E2-BA84-6C8A538F62AF}"/>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58" name="Shape 3">
          <a:extLst>
            <a:ext uri="{FF2B5EF4-FFF2-40B4-BE49-F238E27FC236}">
              <a16:creationId xmlns:a16="http://schemas.microsoft.com/office/drawing/2014/main" id="{7709D152-1449-467A-8D74-BFAC0F38313E}"/>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59" name="Shape 3">
          <a:extLst>
            <a:ext uri="{FF2B5EF4-FFF2-40B4-BE49-F238E27FC236}">
              <a16:creationId xmlns:a16="http://schemas.microsoft.com/office/drawing/2014/main" id="{6D940120-EF69-4083-BF5F-A233AC11B2D7}"/>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60" name="Shape 3">
          <a:extLst>
            <a:ext uri="{FF2B5EF4-FFF2-40B4-BE49-F238E27FC236}">
              <a16:creationId xmlns:a16="http://schemas.microsoft.com/office/drawing/2014/main" id="{FACFC165-20B2-47BA-85E2-1D065C732B43}"/>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61" name="Shape 3">
          <a:extLst>
            <a:ext uri="{FF2B5EF4-FFF2-40B4-BE49-F238E27FC236}">
              <a16:creationId xmlns:a16="http://schemas.microsoft.com/office/drawing/2014/main" id="{829096E2-860A-42C5-B0B2-09B1C694CBAD}"/>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62" name="Shape 3">
          <a:extLst>
            <a:ext uri="{FF2B5EF4-FFF2-40B4-BE49-F238E27FC236}">
              <a16:creationId xmlns:a16="http://schemas.microsoft.com/office/drawing/2014/main" id="{2F3A5DC5-2475-4A3B-A5CE-BCA1FB27FF9B}"/>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63" name="Shape 3">
          <a:extLst>
            <a:ext uri="{FF2B5EF4-FFF2-40B4-BE49-F238E27FC236}">
              <a16:creationId xmlns:a16="http://schemas.microsoft.com/office/drawing/2014/main" id="{508F2A10-6E88-4595-8A74-E9FC1D8610D6}"/>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64" name="Shape 3">
          <a:extLst>
            <a:ext uri="{FF2B5EF4-FFF2-40B4-BE49-F238E27FC236}">
              <a16:creationId xmlns:a16="http://schemas.microsoft.com/office/drawing/2014/main" id="{C364B3EE-70A2-47A6-B2D0-7A08AF77B892}"/>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65" name="Shape 3">
          <a:extLst>
            <a:ext uri="{FF2B5EF4-FFF2-40B4-BE49-F238E27FC236}">
              <a16:creationId xmlns:a16="http://schemas.microsoft.com/office/drawing/2014/main" id="{85674693-BF27-4612-AC5A-68DF04CBCA56}"/>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66" name="Shape 3">
          <a:extLst>
            <a:ext uri="{FF2B5EF4-FFF2-40B4-BE49-F238E27FC236}">
              <a16:creationId xmlns:a16="http://schemas.microsoft.com/office/drawing/2014/main" id="{5A0EC861-6C18-4868-86AC-20D6C6CC4E5C}"/>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67" name="Shape 3">
          <a:extLst>
            <a:ext uri="{FF2B5EF4-FFF2-40B4-BE49-F238E27FC236}">
              <a16:creationId xmlns:a16="http://schemas.microsoft.com/office/drawing/2014/main" id="{8964B230-E266-410D-8538-CAD112C02FAD}"/>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68" name="Shape 3">
          <a:extLst>
            <a:ext uri="{FF2B5EF4-FFF2-40B4-BE49-F238E27FC236}">
              <a16:creationId xmlns:a16="http://schemas.microsoft.com/office/drawing/2014/main" id="{A63407E8-BE09-4CD8-834C-E20C40ADDB1F}"/>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69" name="Shape 3">
          <a:extLst>
            <a:ext uri="{FF2B5EF4-FFF2-40B4-BE49-F238E27FC236}">
              <a16:creationId xmlns:a16="http://schemas.microsoft.com/office/drawing/2014/main" id="{2C9F0249-339C-4CB6-BB43-8123515DE219}"/>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70" name="Shape 3">
          <a:extLst>
            <a:ext uri="{FF2B5EF4-FFF2-40B4-BE49-F238E27FC236}">
              <a16:creationId xmlns:a16="http://schemas.microsoft.com/office/drawing/2014/main" id="{62647930-F2ED-4169-9882-45ED00582DB0}"/>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71" name="Shape 3">
          <a:extLst>
            <a:ext uri="{FF2B5EF4-FFF2-40B4-BE49-F238E27FC236}">
              <a16:creationId xmlns:a16="http://schemas.microsoft.com/office/drawing/2014/main" id="{1BED3C5C-22CA-40A4-9A7D-A512CBB4496E}"/>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72" name="Shape 3">
          <a:extLst>
            <a:ext uri="{FF2B5EF4-FFF2-40B4-BE49-F238E27FC236}">
              <a16:creationId xmlns:a16="http://schemas.microsoft.com/office/drawing/2014/main" id="{42FC4954-6F18-4147-92A5-A97F13157EED}"/>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73" name="Shape 3">
          <a:extLst>
            <a:ext uri="{FF2B5EF4-FFF2-40B4-BE49-F238E27FC236}">
              <a16:creationId xmlns:a16="http://schemas.microsoft.com/office/drawing/2014/main" id="{6DFF2F77-8C51-472C-B377-673A4527AF80}"/>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74" name="Shape 3">
          <a:extLst>
            <a:ext uri="{FF2B5EF4-FFF2-40B4-BE49-F238E27FC236}">
              <a16:creationId xmlns:a16="http://schemas.microsoft.com/office/drawing/2014/main" id="{0CA4AA49-3644-4C57-B8D6-5AB1A0E685CA}"/>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75" name="Shape 3">
          <a:extLst>
            <a:ext uri="{FF2B5EF4-FFF2-40B4-BE49-F238E27FC236}">
              <a16:creationId xmlns:a16="http://schemas.microsoft.com/office/drawing/2014/main" id="{FC08B394-2EC0-439C-BBD1-D320DD2AE7C6}"/>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76" name="Shape 3">
          <a:extLst>
            <a:ext uri="{FF2B5EF4-FFF2-40B4-BE49-F238E27FC236}">
              <a16:creationId xmlns:a16="http://schemas.microsoft.com/office/drawing/2014/main" id="{78CB1D72-9044-447E-A438-B154BA74BB89}"/>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77" name="Shape 3">
          <a:extLst>
            <a:ext uri="{FF2B5EF4-FFF2-40B4-BE49-F238E27FC236}">
              <a16:creationId xmlns:a16="http://schemas.microsoft.com/office/drawing/2014/main" id="{E9D47548-DA4B-4AC2-86EE-95C026AE7A73}"/>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78" name="Shape 3">
          <a:extLst>
            <a:ext uri="{FF2B5EF4-FFF2-40B4-BE49-F238E27FC236}">
              <a16:creationId xmlns:a16="http://schemas.microsoft.com/office/drawing/2014/main" id="{E37E55C2-C7F9-4F09-935A-7B4AAB3ED0D6}"/>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79" name="Shape 3">
          <a:extLst>
            <a:ext uri="{FF2B5EF4-FFF2-40B4-BE49-F238E27FC236}">
              <a16:creationId xmlns:a16="http://schemas.microsoft.com/office/drawing/2014/main" id="{A326AE6B-1959-486C-B205-6E1D8C8DB921}"/>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80" name="Shape 3">
          <a:extLst>
            <a:ext uri="{FF2B5EF4-FFF2-40B4-BE49-F238E27FC236}">
              <a16:creationId xmlns:a16="http://schemas.microsoft.com/office/drawing/2014/main" id="{9F92B68B-EE74-4387-98F5-A70A666E087E}"/>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81" name="Shape 3">
          <a:extLst>
            <a:ext uri="{FF2B5EF4-FFF2-40B4-BE49-F238E27FC236}">
              <a16:creationId xmlns:a16="http://schemas.microsoft.com/office/drawing/2014/main" id="{DCE72645-B330-4CE0-B16A-0189B17DE00D}"/>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82" name="Shape 3">
          <a:extLst>
            <a:ext uri="{FF2B5EF4-FFF2-40B4-BE49-F238E27FC236}">
              <a16:creationId xmlns:a16="http://schemas.microsoft.com/office/drawing/2014/main" id="{4FE0499B-A6C0-4647-B035-869A6B579A55}"/>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83" name="Shape 3">
          <a:extLst>
            <a:ext uri="{FF2B5EF4-FFF2-40B4-BE49-F238E27FC236}">
              <a16:creationId xmlns:a16="http://schemas.microsoft.com/office/drawing/2014/main" id="{A08C99DC-0111-443E-B37C-3394A4140BD7}"/>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84" name="Shape 3">
          <a:extLst>
            <a:ext uri="{FF2B5EF4-FFF2-40B4-BE49-F238E27FC236}">
              <a16:creationId xmlns:a16="http://schemas.microsoft.com/office/drawing/2014/main" id="{A3712D7A-CA45-4ACC-AF7C-7ABD8812DA54}"/>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85" name="Shape 3">
          <a:extLst>
            <a:ext uri="{FF2B5EF4-FFF2-40B4-BE49-F238E27FC236}">
              <a16:creationId xmlns:a16="http://schemas.microsoft.com/office/drawing/2014/main" id="{F762D8AB-5964-46FF-BFCC-8F7670258B3C}"/>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86" name="Shape 3">
          <a:extLst>
            <a:ext uri="{FF2B5EF4-FFF2-40B4-BE49-F238E27FC236}">
              <a16:creationId xmlns:a16="http://schemas.microsoft.com/office/drawing/2014/main" id="{E9EB56AE-CDAD-4634-A580-2530BDD6C8C3}"/>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87" name="Shape 3">
          <a:extLst>
            <a:ext uri="{FF2B5EF4-FFF2-40B4-BE49-F238E27FC236}">
              <a16:creationId xmlns:a16="http://schemas.microsoft.com/office/drawing/2014/main" id="{124824B3-4F49-45A7-9CCA-11F1D387BE5F}"/>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88" name="Shape 3">
          <a:extLst>
            <a:ext uri="{FF2B5EF4-FFF2-40B4-BE49-F238E27FC236}">
              <a16:creationId xmlns:a16="http://schemas.microsoft.com/office/drawing/2014/main" id="{790907E6-97AB-4AAD-ACD4-9C88172BD3E4}"/>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89" name="Shape 3">
          <a:extLst>
            <a:ext uri="{FF2B5EF4-FFF2-40B4-BE49-F238E27FC236}">
              <a16:creationId xmlns:a16="http://schemas.microsoft.com/office/drawing/2014/main" id="{74AEEA0C-D468-44BB-B868-D44A7E173FA0}"/>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90" name="Shape 3">
          <a:extLst>
            <a:ext uri="{FF2B5EF4-FFF2-40B4-BE49-F238E27FC236}">
              <a16:creationId xmlns:a16="http://schemas.microsoft.com/office/drawing/2014/main" id="{9376A4CA-A741-40ED-A251-3A50C8C71C40}"/>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91" name="Shape 3">
          <a:extLst>
            <a:ext uri="{FF2B5EF4-FFF2-40B4-BE49-F238E27FC236}">
              <a16:creationId xmlns:a16="http://schemas.microsoft.com/office/drawing/2014/main" id="{34F64FC9-C17E-441E-A1C3-E329961A66C7}"/>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92" name="Shape 3">
          <a:extLst>
            <a:ext uri="{FF2B5EF4-FFF2-40B4-BE49-F238E27FC236}">
              <a16:creationId xmlns:a16="http://schemas.microsoft.com/office/drawing/2014/main" id="{EE949966-5EA1-4537-B916-266696BF0852}"/>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93" name="Shape 3">
          <a:extLst>
            <a:ext uri="{FF2B5EF4-FFF2-40B4-BE49-F238E27FC236}">
              <a16:creationId xmlns:a16="http://schemas.microsoft.com/office/drawing/2014/main" id="{80559F9B-11A5-4227-BD04-D672A6E3A398}"/>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94" name="Shape 3">
          <a:extLst>
            <a:ext uri="{FF2B5EF4-FFF2-40B4-BE49-F238E27FC236}">
              <a16:creationId xmlns:a16="http://schemas.microsoft.com/office/drawing/2014/main" id="{B8C71BD2-3537-4944-BB20-A1A87E8ACC96}"/>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95" name="Shape 3">
          <a:extLst>
            <a:ext uri="{FF2B5EF4-FFF2-40B4-BE49-F238E27FC236}">
              <a16:creationId xmlns:a16="http://schemas.microsoft.com/office/drawing/2014/main" id="{A9B41ADF-003D-4B52-A9F0-81ECF045473D}"/>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96" name="Shape 3">
          <a:extLst>
            <a:ext uri="{FF2B5EF4-FFF2-40B4-BE49-F238E27FC236}">
              <a16:creationId xmlns:a16="http://schemas.microsoft.com/office/drawing/2014/main" id="{1112043E-685C-4FAD-97EC-D0ACD533D75D}"/>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97" name="Shape 3">
          <a:extLst>
            <a:ext uri="{FF2B5EF4-FFF2-40B4-BE49-F238E27FC236}">
              <a16:creationId xmlns:a16="http://schemas.microsoft.com/office/drawing/2014/main" id="{5CA3B313-A61C-4D0F-942D-E18F7A4F11AD}"/>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98" name="Shape 3">
          <a:extLst>
            <a:ext uri="{FF2B5EF4-FFF2-40B4-BE49-F238E27FC236}">
              <a16:creationId xmlns:a16="http://schemas.microsoft.com/office/drawing/2014/main" id="{C678CED2-47BB-4ECB-90FE-82A173EE9B04}"/>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399" name="Shape 3">
          <a:extLst>
            <a:ext uri="{FF2B5EF4-FFF2-40B4-BE49-F238E27FC236}">
              <a16:creationId xmlns:a16="http://schemas.microsoft.com/office/drawing/2014/main" id="{7BC6BFE1-5903-4B6F-95FB-458517F0BC0B}"/>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400" name="Shape 3">
          <a:extLst>
            <a:ext uri="{FF2B5EF4-FFF2-40B4-BE49-F238E27FC236}">
              <a16:creationId xmlns:a16="http://schemas.microsoft.com/office/drawing/2014/main" id="{10B6C6BD-52CC-47B0-AEB2-8FC80027F4A4}"/>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56</xdr:col>
      <xdr:colOff>0</xdr:colOff>
      <xdr:row>12</xdr:row>
      <xdr:rowOff>0</xdr:rowOff>
    </xdr:from>
    <xdr:ext cx="190500" cy="266700"/>
    <xdr:sp macro="" textlink="">
      <xdr:nvSpPr>
        <xdr:cNvPr id="401" name="Shape 3">
          <a:extLst>
            <a:ext uri="{FF2B5EF4-FFF2-40B4-BE49-F238E27FC236}">
              <a16:creationId xmlns:a16="http://schemas.microsoft.com/office/drawing/2014/main" id="{46B6AA36-489F-4C01-B632-2AAB7B9CD0D1}"/>
            </a:ext>
          </a:extLst>
        </xdr:cNvPr>
        <xdr:cNvSpPr txBox="1"/>
      </xdr:nvSpPr>
      <xdr:spPr>
        <a:xfrm>
          <a:off x="32127825" y="32861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7</xdr:col>
      <xdr:colOff>409575</xdr:colOff>
      <xdr:row>43</xdr:row>
      <xdr:rowOff>0</xdr:rowOff>
    </xdr:from>
    <xdr:ext cx="190500" cy="266700"/>
    <xdr:sp macro="" textlink="">
      <xdr:nvSpPr>
        <xdr:cNvPr id="2" name="Shape 5">
          <a:extLst>
            <a:ext uri="{FF2B5EF4-FFF2-40B4-BE49-F238E27FC236}">
              <a16:creationId xmlns:a16="http://schemas.microsoft.com/office/drawing/2014/main" id="{6D427E2C-F514-4F8B-89BF-EE03A2EC9307}"/>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3" name="Shape 5">
          <a:extLst>
            <a:ext uri="{FF2B5EF4-FFF2-40B4-BE49-F238E27FC236}">
              <a16:creationId xmlns:a16="http://schemas.microsoft.com/office/drawing/2014/main" id="{FF7591CB-E3CB-4E64-BC78-EEBA15A160A8}"/>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4" name="Shape 5">
          <a:extLst>
            <a:ext uri="{FF2B5EF4-FFF2-40B4-BE49-F238E27FC236}">
              <a16:creationId xmlns:a16="http://schemas.microsoft.com/office/drawing/2014/main" id="{78846A35-C241-413C-8EAD-2CDB1F0D4513}"/>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5" name="Shape 5">
          <a:extLst>
            <a:ext uri="{FF2B5EF4-FFF2-40B4-BE49-F238E27FC236}">
              <a16:creationId xmlns:a16="http://schemas.microsoft.com/office/drawing/2014/main" id="{4555EFCF-5215-4D26-8FD3-D4DAA037690E}"/>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6" name="Shape 5">
          <a:extLst>
            <a:ext uri="{FF2B5EF4-FFF2-40B4-BE49-F238E27FC236}">
              <a16:creationId xmlns:a16="http://schemas.microsoft.com/office/drawing/2014/main" id="{38962C12-78A1-44F8-84A3-65C44B928ECA}"/>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7" name="Shape 5">
          <a:extLst>
            <a:ext uri="{FF2B5EF4-FFF2-40B4-BE49-F238E27FC236}">
              <a16:creationId xmlns:a16="http://schemas.microsoft.com/office/drawing/2014/main" id="{DDDFA0E0-BC99-4BA1-9595-3BFD49006BF4}"/>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8" name="Shape 5">
          <a:extLst>
            <a:ext uri="{FF2B5EF4-FFF2-40B4-BE49-F238E27FC236}">
              <a16:creationId xmlns:a16="http://schemas.microsoft.com/office/drawing/2014/main" id="{EB6371EF-9055-44F6-ADD3-A0DAAAF77D4B}"/>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9" name="Shape 5">
          <a:extLst>
            <a:ext uri="{FF2B5EF4-FFF2-40B4-BE49-F238E27FC236}">
              <a16:creationId xmlns:a16="http://schemas.microsoft.com/office/drawing/2014/main" id="{AB22B940-DB19-4B43-A881-0A8036588E47}"/>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10" name="Shape 5">
          <a:extLst>
            <a:ext uri="{FF2B5EF4-FFF2-40B4-BE49-F238E27FC236}">
              <a16:creationId xmlns:a16="http://schemas.microsoft.com/office/drawing/2014/main" id="{FB395630-EB2B-4E8C-9CFF-88A5B9D4E6C8}"/>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11" name="Shape 5">
          <a:extLst>
            <a:ext uri="{FF2B5EF4-FFF2-40B4-BE49-F238E27FC236}">
              <a16:creationId xmlns:a16="http://schemas.microsoft.com/office/drawing/2014/main" id="{04F330F5-1531-4552-BE4A-5CB65ACDB61A}"/>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12" name="Shape 5">
          <a:extLst>
            <a:ext uri="{FF2B5EF4-FFF2-40B4-BE49-F238E27FC236}">
              <a16:creationId xmlns:a16="http://schemas.microsoft.com/office/drawing/2014/main" id="{4B91162D-F34A-4FDF-A42A-55ED3145AB53}"/>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13" name="Shape 5">
          <a:extLst>
            <a:ext uri="{FF2B5EF4-FFF2-40B4-BE49-F238E27FC236}">
              <a16:creationId xmlns:a16="http://schemas.microsoft.com/office/drawing/2014/main" id="{D7510C81-18A8-4EF5-A37A-BC3491C86EDC}"/>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14" name="Shape 5">
          <a:extLst>
            <a:ext uri="{FF2B5EF4-FFF2-40B4-BE49-F238E27FC236}">
              <a16:creationId xmlns:a16="http://schemas.microsoft.com/office/drawing/2014/main" id="{AE8714AA-D1A4-49FB-9609-AB958234C3D3}"/>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15" name="Shape 5">
          <a:extLst>
            <a:ext uri="{FF2B5EF4-FFF2-40B4-BE49-F238E27FC236}">
              <a16:creationId xmlns:a16="http://schemas.microsoft.com/office/drawing/2014/main" id="{F6512859-DD69-4260-AD1F-7A1E9FCDE22E}"/>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16" name="Shape 5">
          <a:extLst>
            <a:ext uri="{FF2B5EF4-FFF2-40B4-BE49-F238E27FC236}">
              <a16:creationId xmlns:a16="http://schemas.microsoft.com/office/drawing/2014/main" id="{06C8105F-0504-4796-8F32-0FD8EBD5FF1E}"/>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17" name="Shape 5">
          <a:extLst>
            <a:ext uri="{FF2B5EF4-FFF2-40B4-BE49-F238E27FC236}">
              <a16:creationId xmlns:a16="http://schemas.microsoft.com/office/drawing/2014/main" id="{B36CF60E-3E68-462A-9975-9035F8A97D81}"/>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18" name="Shape 5">
          <a:extLst>
            <a:ext uri="{FF2B5EF4-FFF2-40B4-BE49-F238E27FC236}">
              <a16:creationId xmlns:a16="http://schemas.microsoft.com/office/drawing/2014/main" id="{0F7CDA20-9DA0-48C8-8C0F-2F2F907832E8}"/>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19" name="Shape 5">
          <a:extLst>
            <a:ext uri="{FF2B5EF4-FFF2-40B4-BE49-F238E27FC236}">
              <a16:creationId xmlns:a16="http://schemas.microsoft.com/office/drawing/2014/main" id="{E8B37ACE-7C8D-40AA-A4B2-6D4B388A9E9E}"/>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20" name="Shape 5">
          <a:extLst>
            <a:ext uri="{FF2B5EF4-FFF2-40B4-BE49-F238E27FC236}">
              <a16:creationId xmlns:a16="http://schemas.microsoft.com/office/drawing/2014/main" id="{159833F8-4FBB-4D11-94B0-9107DC215041}"/>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21" name="Shape 5">
          <a:extLst>
            <a:ext uri="{FF2B5EF4-FFF2-40B4-BE49-F238E27FC236}">
              <a16:creationId xmlns:a16="http://schemas.microsoft.com/office/drawing/2014/main" id="{BBAA8258-7035-4AD0-9C29-A15A72145FCF}"/>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22" name="Shape 5">
          <a:extLst>
            <a:ext uri="{FF2B5EF4-FFF2-40B4-BE49-F238E27FC236}">
              <a16:creationId xmlns:a16="http://schemas.microsoft.com/office/drawing/2014/main" id="{3B63964C-E278-45E5-B1B5-2B9EB3D33C3E}"/>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23" name="Shape 5">
          <a:extLst>
            <a:ext uri="{FF2B5EF4-FFF2-40B4-BE49-F238E27FC236}">
              <a16:creationId xmlns:a16="http://schemas.microsoft.com/office/drawing/2014/main" id="{6BFF177D-ACF7-4BA8-89DB-366DC6434AA6}"/>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24" name="Shape 5">
          <a:extLst>
            <a:ext uri="{FF2B5EF4-FFF2-40B4-BE49-F238E27FC236}">
              <a16:creationId xmlns:a16="http://schemas.microsoft.com/office/drawing/2014/main" id="{4D896C40-2C3E-4E4F-A2E4-21276523F722}"/>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25" name="Shape 5">
          <a:extLst>
            <a:ext uri="{FF2B5EF4-FFF2-40B4-BE49-F238E27FC236}">
              <a16:creationId xmlns:a16="http://schemas.microsoft.com/office/drawing/2014/main" id="{91B08BEE-848A-4664-AFBA-6F18018552BF}"/>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26" name="Shape 5">
          <a:extLst>
            <a:ext uri="{FF2B5EF4-FFF2-40B4-BE49-F238E27FC236}">
              <a16:creationId xmlns:a16="http://schemas.microsoft.com/office/drawing/2014/main" id="{E9C1FA00-690E-4C61-861F-59FB07E8D4AF}"/>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27" name="Shape 5">
          <a:extLst>
            <a:ext uri="{FF2B5EF4-FFF2-40B4-BE49-F238E27FC236}">
              <a16:creationId xmlns:a16="http://schemas.microsoft.com/office/drawing/2014/main" id="{A91E3DCA-F42E-413A-B42F-FF375AFEE3E0}"/>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28" name="Shape 5">
          <a:extLst>
            <a:ext uri="{FF2B5EF4-FFF2-40B4-BE49-F238E27FC236}">
              <a16:creationId xmlns:a16="http://schemas.microsoft.com/office/drawing/2014/main" id="{47EAE5EA-4C42-45D7-8B42-04841AA36382}"/>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29" name="Shape 5">
          <a:extLst>
            <a:ext uri="{FF2B5EF4-FFF2-40B4-BE49-F238E27FC236}">
              <a16:creationId xmlns:a16="http://schemas.microsoft.com/office/drawing/2014/main" id="{9BA18D8C-E697-475C-8A04-2DB83B4BE9FC}"/>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30" name="Shape 5">
          <a:extLst>
            <a:ext uri="{FF2B5EF4-FFF2-40B4-BE49-F238E27FC236}">
              <a16:creationId xmlns:a16="http://schemas.microsoft.com/office/drawing/2014/main" id="{E53242DA-742A-4527-A14E-4FFB8B5724BB}"/>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31" name="Shape 5">
          <a:extLst>
            <a:ext uri="{FF2B5EF4-FFF2-40B4-BE49-F238E27FC236}">
              <a16:creationId xmlns:a16="http://schemas.microsoft.com/office/drawing/2014/main" id="{FFB066A6-0514-4277-97B4-FFE7D95F1EF6}"/>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32" name="Shape 5">
          <a:extLst>
            <a:ext uri="{FF2B5EF4-FFF2-40B4-BE49-F238E27FC236}">
              <a16:creationId xmlns:a16="http://schemas.microsoft.com/office/drawing/2014/main" id="{B57B45CD-11D0-4863-81BB-4719EB3A6129}"/>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33" name="Shape 5">
          <a:extLst>
            <a:ext uri="{FF2B5EF4-FFF2-40B4-BE49-F238E27FC236}">
              <a16:creationId xmlns:a16="http://schemas.microsoft.com/office/drawing/2014/main" id="{D1F97550-0859-447D-828A-027ED131B77B}"/>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34" name="Shape 5">
          <a:extLst>
            <a:ext uri="{FF2B5EF4-FFF2-40B4-BE49-F238E27FC236}">
              <a16:creationId xmlns:a16="http://schemas.microsoft.com/office/drawing/2014/main" id="{9B533C55-51F6-42DC-A8B4-4487BB43FE8D}"/>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35" name="Shape 5">
          <a:extLst>
            <a:ext uri="{FF2B5EF4-FFF2-40B4-BE49-F238E27FC236}">
              <a16:creationId xmlns:a16="http://schemas.microsoft.com/office/drawing/2014/main" id="{B1CF3AEE-F0FB-4AB9-8AD5-DE5718CDA95B}"/>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36" name="Shape 5">
          <a:extLst>
            <a:ext uri="{FF2B5EF4-FFF2-40B4-BE49-F238E27FC236}">
              <a16:creationId xmlns:a16="http://schemas.microsoft.com/office/drawing/2014/main" id="{A28DCB99-CA21-4337-9185-6BF9A74567E0}"/>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37" name="Shape 5">
          <a:extLst>
            <a:ext uri="{FF2B5EF4-FFF2-40B4-BE49-F238E27FC236}">
              <a16:creationId xmlns:a16="http://schemas.microsoft.com/office/drawing/2014/main" id="{DA1B8BC5-7827-43C7-829F-16291543DEA5}"/>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38" name="Shape 5">
          <a:extLst>
            <a:ext uri="{FF2B5EF4-FFF2-40B4-BE49-F238E27FC236}">
              <a16:creationId xmlns:a16="http://schemas.microsoft.com/office/drawing/2014/main" id="{905EAE6F-6D50-436B-8083-0633CEFBEF72}"/>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39" name="Shape 5">
          <a:extLst>
            <a:ext uri="{FF2B5EF4-FFF2-40B4-BE49-F238E27FC236}">
              <a16:creationId xmlns:a16="http://schemas.microsoft.com/office/drawing/2014/main" id="{144AEFF6-0C76-43A5-B6B2-8658A57D8AD3}"/>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40" name="Shape 5">
          <a:extLst>
            <a:ext uri="{FF2B5EF4-FFF2-40B4-BE49-F238E27FC236}">
              <a16:creationId xmlns:a16="http://schemas.microsoft.com/office/drawing/2014/main" id="{0A813973-825F-45D7-A6B9-64617A3703D3}"/>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41" name="Shape 5">
          <a:extLst>
            <a:ext uri="{FF2B5EF4-FFF2-40B4-BE49-F238E27FC236}">
              <a16:creationId xmlns:a16="http://schemas.microsoft.com/office/drawing/2014/main" id="{50208C26-0E1A-45B3-AE7E-D5AD81CD5BF7}"/>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42" name="Shape 5">
          <a:extLst>
            <a:ext uri="{FF2B5EF4-FFF2-40B4-BE49-F238E27FC236}">
              <a16:creationId xmlns:a16="http://schemas.microsoft.com/office/drawing/2014/main" id="{1CE5F541-5CD2-45B3-BE1C-EE26DC6CF950}"/>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43" name="Shape 5">
          <a:extLst>
            <a:ext uri="{FF2B5EF4-FFF2-40B4-BE49-F238E27FC236}">
              <a16:creationId xmlns:a16="http://schemas.microsoft.com/office/drawing/2014/main" id="{CDA41951-E4C7-49F1-93D4-2EE6AA459DC2}"/>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44" name="Shape 5">
          <a:extLst>
            <a:ext uri="{FF2B5EF4-FFF2-40B4-BE49-F238E27FC236}">
              <a16:creationId xmlns:a16="http://schemas.microsoft.com/office/drawing/2014/main" id="{07D625E8-E510-4C0F-85BE-711CCAFECE52}"/>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45" name="Shape 5">
          <a:extLst>
            <a:ext uri="{FF2B5EF4-FFF2-40B4-BE49-F238E27FC236}">
              <a16:creationId xmlns:a16="http://schemas.microsoft.com/office/drawing/2014/main" id="{675FB097-858D-4C8A-9155-9D292CAD8167}"/>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46" name="Shape 5">
          <a:extLst>
            <a:ext uri="{FF2B5EF4-FFF2-40B4-BE49-F238E27FC236}">
              <a16:creationId xmlns:a16="http://schemas.microsoft.com/office/drawing/2014/main" id="{FA139D11-9A9D-4ED5-BBC0-A1E9E07CA162}"/>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47" name="Shape 5">
          <a:extLst>
            <a:ext uri="{FF2B5EF4-FFF2-40B4-BE49-F238E27FC236}">
              <a16:creationId xmlns:a16="http://schemas.microsoft.com/office/drawing/2014/main" id="{DA16EFD5-CB22-4F46-A502-1AD34A41C1C8}"/>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48" name="Shape 5">
          <a:extLst>
            <a:ext uri="{FF2B5EF4-FFF2-40B4-BE49-F238E27FC236}">
              <a16:creationId xmlns:a16="http://schemas.microsoft.com/office/drawing/2014/main" id="{1A118637-726B-4407-934C-E0AD0AFEDE1E}"/>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49" name="Shape 5">
          <a:extLst>
            <a:ext uri="{FF2B5EF4-FFF2-40B4-BE49-F238E27FC236}">
              <a16:creationId xmlns:a16="http://schemas.microsoft.com/office/drawing/2014/main" id="{DF5EC9A3-8E6B-4BE2-A712-1E5B5CC1C8F2}"/>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50" name="Shape 5">
          <a:extLst>
            <a:ext uri="{FF2B5EF4-FFF2-40B4-BE49-F238E27FC236}">
              <a16:creationId xmlns:a16="http://schemas.microsoft.com/office/drawing/2014/main" id="{6A03AD0D-F726-4CC7-8921-8BE00A6094DA}"/>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51" name="Shape 5">
          <a:extLst>
            <a:ext uri="{FF2B5EF4-FFF2-40B4-BE49-F238E27FC236}">
              <a16:creationId xmlns:a16="http://schemas.microsoft.com/office/drawing/2014/main" id="{3DAA2C83-1591-45C0-B9B5-DBC13018FC95}"/>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52" name="Shape 5">
          <a:extLst>
            <a:ext uri="{FF2B5EF4-FFF2-40B4-BE49-F238E27FC236}">
              <a16:creationId xmlns:a16="http://schemas.microsoft.com/office/drawing/2014/main" id="{D0344BAA-15F7-4013-9E55-F766951B09D1}"/>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53" name="Shape 5">
          <a:extLst>
            <a:ext uri="{FF2B5EF4-FFF2-40B4-BE49-F238E27FC236}">
              <a16:creationId xmlns:a16="http://schemas.microsoft.com/office/drawing/2014/main" id="{8043F996-8E47-43DE-971C-13CC19369E3B}"/>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54" name="Shape 5">
          <a:extLst>
            <a:ext uri="{FF2B5EF4-FFF2-40B4-BE49-F238E27FC236}">
              <a16:creationId xmlns:a16="http://schemas.microsoft.com/office/drawing/2014/main" id="{50362352-9123-4D4D-A349-1B49D5FBDFF0}"/>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55" name="Shape 5">
          <a:extLst>
            <a:ext uri="{FF2B5EF4-FFF2-40B4-BE49-F238E27FC236}">
              <a16:creationId xmlns:a16="http://schemas.microsoft.com/office/drawing/2014/main" id="{AB96CF14-125E-4FB2-B55B-6C55E83C0B28}"/>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56" name="Shape 5">
          <a:extLst>
            <a:ext uri="{FF2B5EF4-FFF2-40B4-BE49-F238E27FC236}">
              <a16:creationId xmlns:a16="http://schemas.microsoft.com/office/drawing/2014/main" id="{721682CE-2C8E-4438-8042-AEE5EDBA1D57}"/>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57" name="Shape 5">
          <a:extLst>
            <a:ext uri="{FF2B5EF4-FFF2-40B4-BE49-F238E27FC236}">
              <a16:creationId xmlns:a16="http://schemas.microsoft.com/office/drawing/2014/main" id="{3E994E4E-32D8-44A4-A976-6C47367E5A9D}"/>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58" name="Shape 5">
          <a:extLst>
            <a:ext uri="{FF2B5EF4-FFF2-40B4-BE49-F238E27FC236}">
              <a16:creationId xmlns:a16="http://schemas.microsoft.com/office/drawing/2014/main" id="{939E5746-10D6-406F-BA55-CD5BE153BFF0}"/>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59" name="Shape 5">
          <a:extLst>
            <a:ext uri="{FF2B5EF4-FFF2-40B4-BE49-F238E27FC236}">
              <a16:creationId xmlns:a16="http://schemas.microsoft.com/office/drawing/2014/main" id="{D994F2D3-4F5D-427A-B404-B6DFF8ABE293}"/>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60" name="Shape 5">
          <a:extLst>
            <a:ext uri="{FF2B5EF4-FFF2-40B4-BE49-F238E27FC236}">
              <a16:creationId xmlns:a16="http://schemas.microsoft.com/office/drawing/2014/main" id="{38F13052-7ABE-4BED-9948-DD9E2F5BC968}"/>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61" name="Shape 5">
          <a:extLst>
            <a:ext uri="{FF2B5EF4-FFF2-40B4-BE49-F238E27FC236}">
              <a16:creationId xmlns:a16="http://schemas.microsoft.com/office/drawing/2014/main" id="{19C15A78-06F8-4B14-B88E-BBEF7CB29A83}"/>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62" name="Shape 5">
          <a:extLst>
            <a:ext uri="{FF2B5EF4-FFF2-40B4-BE49-F238E27FC236}">
              <a16:creationId xmlns:a16="http://schemas.microsoft.com/office/drawing/2014/main" id="{363EE192-AE39-4A4C-8A02-F4125E7C2487}"/>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63" name="Shape 5">
          <a:extLst>
            <a:ext uri="{FF2B5EF4-FFF2-40B4-BE49-F238E27FC236}">
              <a16:creationId xmlns:a16="http://schemas.microsoft.com/office/drawing/2014/main" id="{0EAAF3AA-ADDC-4EE1-B108-2BCBABC836AA}"/>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64" name="Shape 5">
          <a:extLst>
            <a:ext uri="{FF2B5EF4-FFF2-40B4-BE49-F238E27FC236}">
              <a16:creationId xmlns:a16="http://schemas.microsoft.com/office/drawing/2014/main" id="{8BADB5CC-3E02-4273-8484-088998FD2B1B}"/>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65" name="Shape 5">
          <a:extLst>
            <a:ext uri="{FF2B5EF4-FFF2-40B4-BE49-F238E27FC236}">
              <a16:creationId xmlns:a16="http://schemas.microsoft.com/office/drawing/2014/main" id="{4537526F-8BDD-4D13-83DA-01779CC94E59}"/>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66" name="Shape 5">
          <a:extLst>
            <a:ext uri="{FF2B5EF4-FFF2-40B4-BE49-F238E27FC236}">
              <a16:creationId xmlns:a16="http://schemas.microsoft.com/office/drawing/2014/main" id="{E080DF2E-36CF-425F-B272-AE8E17C49F9F}"/>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67" name="Shape 5">
          <a:extLst>
            <a:ext uri="{FF2B5EF4-FFF2-40B4-BE49-F238E27FC236}">
              <a16:creationId xmlns:a16="http://schemas.microsoft.com/office/drawing/2014/main" id="{255AAB35-BC2D-4D52-A068-66F12360F64D}"/>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68" name="Shape 5">
          <a:extLst>
            <a:ext uri="{FF2B5EF4-FFF2-40B4-BE49-F238E27FC236}">
              <a16:creationId xmlns:a16="http://schemas.microsoft.com/office/drawing/2014/main" id="{F22547ED-3DA0-42F2-BCE1-CCA042CA4555}"/>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69" name="Shape 5">
          <a:extLst>
            <a:ext uri="{FF2B5EF4-FFF2-40B4-BE49-F238E27FC236}">
              <a16:creationId xmlns:a16="http://schemas.microsoft.com/office/drawing/2014/main" id="{48067B9E-DE1E-4291-BAA4-2603460BE95A}"/>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70" name="Shape 5">
          <a:extLst>
            <a:ext uri="{FF2B5EF4-FFF2-40B4-BE49-F238E27FC236}">
              <a16:creationId xmlns:a16="http://schemas.microsoft.com/office/drawing/2014/main" id="{ADCAF773-5F50-4408-8F30-97556327742D}"/>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71" name="Shape 5">
          <a:extLst>
            <a:ext uri="{FF2B5EF4-FFF2-40B4-BE49-F238E27FC236}">
              <a16:creationId xmlns:a16="http://schemas.microsoft.com/office/drawing/2014/main" id="{B9C26779-178F-4C31-A02B-489F725B0C48}"/>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72" name="Shape 5">
          <a:extLst>
            <a:ext uri="{FF2B5EF4-FFF2-40B4-BE49-F238E27FC236}">
              <a16:creationId xmlns:a16="http://schemas.microsoft.com/office/drawing/2014/main" id="{D2CE0D6D-1514-47AC-B2E9-F5AA99888401}"/>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73" name="Shape 5">
          <a:extLst>
            <a:ext uri="{FF2B5EF4-FFF2-40B4-BE49-F238E27FC236}">
              <a16:creationId xmlns:a16="http://schemas.microsoft.com/office/drawing/2014/main" id="{B6C8C600-E47C-4325-ADB3-826B72B82A5D}"/>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74" name="Shape 5">
          <a:extLst>
            <a:ext uri="{FF2B5EF4-FFF2-40B4-BE49-F238E27FC236}">
              <a16:creationId xmlns:a16="http://schemas.microsoft.com/office/drawing/2014/main" id="{EB51FAC9-0A5B-4A3A-8B84-90C56E8B9AF1}"/>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75" name="Shape 5">
          <a:extLst>
            <a:ext uri="{FF2B5EF4-FFF2-40B4-BE49-F238E27FC236}">
              <a16:creationId xmlns:a16="http://schemas.microsoft.com/office/drawing/2014/main" id="{B84F8112-BD53-400C-9465-0A51CE19459A}"/>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76" name="Shape 5">
          <a:extLst>
            <a:ext uri="{FF2B5EF4-FFF2-40B4-BE49-F238E27FC236}">
              <a16:creationId xmlns:a16="http://schemas.microsoft.com/office/drawing/2014/main" id="{5FF46EC7-9CA8-44E9-B4A6-5FFEE9C2AB9B}"/>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77" name="Shape 5">
          <a:extLst>
            <a:ext uri="{FF2B5EF4-FFF2-40B4-BE49-F238E27FC236}">
              <a16:creationId xmlns:a16="http://schemas.microsoft.com/office/drawing/2014/main" id="{1A668072-57A6-400D-AF1A-E10981D054C1}"/>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78" name="Shape 5">
          <a:extLst>
            <a:ext uri="{FF2B5EF4-FFF2-40B4-BE49-F238E27FC236}">
              <a16:creationId xmlns:a16="http://schemas.microsoft.com/office/drawing/2014/main" id="{36481E57-CEB5-4D8E-A9F1-E26D67966C80}"/>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79" name="Shape 5">
          <a:extLst>
            <a:ext uri="{FF2B5EF4-FFF2-40B4-BE49-F238E27FC236}">
              <a16:creationId xmlns:a16="http://schemas.microsoft.com/office/drawing/2014/main" id="{96D86093-DA05-452B-AD20-7DBCDB91FCB6}"/>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80" name="Shape 5">
          <a:extLst>
            <a:ext uri="{FF2B5EF4-FFF2-40B4-BE49-F238E27FC236}">
              <a16:creationId xmlns:a16="http://schemas.microsoft.com/office/drawing/2014/main" id="{D4EE0F29-F79C-46FE-AB79-C6FC7EF6EDC7}"/>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81" name="Shape 5">
          <a:extLst>
            <a:ext uri="{FF2B5EF4-FFF2-40B4-BE49-F238E27FC236}">
              <a16:creationId xmlns:a16="http://schemas.microsoft.com/office/drawing/2014/main" id="{1CE74000-B031-44E5-80EA-65C6613F2813}"/>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82" name="Shape 5">
          <a:extLst>
            <a:ext uri="{FF2B5EF4-FFF2-40B4-BE49-F238E27FC236}">
              <a16:creationId xmlns:a16="http://schemas.microsoft.com/office/drawing/2014/main" id="{F605428D-89F0-42DA-973D-65F7CA1D0A70}"/>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83" name="Shape 5">
          <a:extLst>
            <a:ext uri="{FF2B5EF4-FFF2-40B4-BE49-F238E27FC236}">
              <a16:creationId xmlns:a16="http://schemas.microsoft.com/office/drawing/2014/main" id="{488D04F1-E8A1-4EC3-854A-F8F08EB223FB}"/>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84" name="Shape 5">
          <a:extLst>
            <a:ext uri="{FF2B5EF4-FFF2-40B4-BE49-F238E27FC236}">
              <a16:creationId xmlns:a16="http://schemas.microsoft.com/office/drawing/2014/main" id="{5BC98D67-9EE8-48A1-805E-900A30573419}"/>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85" name="Shape 5">
          <a:extLst>
            <a:ext uri="{FF2B5EF4-FFF2-40B4-BE49-F238E27FC236}">
              <a16:creationId xmlns:a16="http://schemas.microsoft.com/office/drawing/2014/main" id="{B7B2BB3A-F430-4DFB-A7A9-7F76298042BC}"/>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86" name="Shape 5">
          <a:extLst>
            <a:ext uri="{FF2B5EF4-FFF2-40B4-BE49-F238E27FC236}">
              <a16:creationId xmlns:a16="http://schemas.microsoft.com/office/drawing/2014/main" id="{B0250CB4-87E9-4DF6-817D-B32C8D22707F}"/>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87" name="Shape 5">
          <a:extLst>
            <a:ext uri="{FF2B5EF4-FFF2-40B4-BE49-F238E27FC236}">
              <a16:creationId xmlns:a16="http://schemas.microsoft.com/office/drawing/2014/main" id="{399EF30F-8CB7-4481-83F0-CF50DA5EA3FB}"/>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88" name="Shape 5">
          <a:extLst>
            <a:ext uri="{FF2B5EF4-FFF2-40B4-BE49-F238E27FC236}">
              <a16:creationId xmlns:a16="http://schemas.microsoft.com/office/drawing/2014/main" id="{1FF6BCC9-2A99-47D6-B4C4-9E05B484711F}"/>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89" name="Shape 5">
          <a:extLst>
            <a:ext uri="{FF2B5EF4-FFF2-40B4-BE49-F238E27FC236}">
              <a16:creationId xmlns:a16="http://schemas.microsoft.com/office/drawing/2014/main" id="{661E5BD2-081D-4439-9F63-48F287BC9BA5}"/>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90" name="Shape 5">
          <a:extLst>
            <a:ext uri="{FF2B5EF4-FFF2-40B4-BE49-F238E27FC236}">
              <a16:creationId xmlns:a16="http://schemas.microsoft.com/office/drawing/2014/main" id="{7F116EFA-1E8C-4E55-8AA5-290D1B5D3633}"/>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91" name="Shape 5">
          <a:extLst>
            <a:ext uri="{FF2B5EF4-FFF2-40B4-BE49-F238E27FC236}">
              <a16:creationId xmlns:a16="http://schemas.microsoft.com/office/drawing/2014/main" id="{9D3ECEB0-E1CB-4BF2-AF3A-8873575B954D}"/>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92" name="Shape 5">
          <a:extLst>
            <a:ext uri="{FF2B5EF4-FFF2-40B4-BE49-F238E27FC236}">
              <a16:creationId xmlns:a16="http://schemas.microsoft.com/office/drawing/2014/main" id="{68A909D6-8348-417F-AD40-58899B018EBF}"/>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93" name="Shape 5">
          <a:extLst>
            <a:ext uri="{FF2B5EF4-FFF2-40B4-BE49-F238E27FC236}">
              <a16:creationId xmlns:a16="http://schemas.microsoft.com/office/drawing/2014/main" id="{ABD6D5A2-8870-4BF3-ACCA-754E179BC217}"/>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94" name="Shape 5">
          <a:extLst>
            <a:ext uri="{FF2B5EF4-FFF2-40B4-BE49-F238E27FC236}">
              <a16:creationId xmlns:a16="http://schemas.microsoft.com/office/drawing/2014/main" id="{C282131C-ADB9-40B1-B9ED-67CF3FFA04CE}"/>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95" name="Shape 5">
          <a:extLst>
            <a:ext uri="{FF2B5EF4-FFF2-40B4-BE49-F238E27FC236}">
              <a16:creationId xmlns:a16="http://schemas.microsoft.com/office/drawing/2014/main" id="{00A8EEAF-3BBC-4085-AE63-7EBAE859C528}"/>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96" name="Shape 5">
          <a:extLst>
            <a:ext uri="{FF2B5EF4-FFF2-40B4-BE49-F238E27FC236}">
              <a16:creationId xmlns:a16="http://schemas.microsoft.com/office/drawing/2014/main" id="{1F216893-1B3C-4632-B2A5-B76E8CCA1F89}"/>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97" name="Shape 5">
          <a:extLst>
            <a:ext uri="{FF2B5EF4-FFF2-40B4-BE49-F238E27FC236}">
              <a16:creationId xmlns:a16="http://schemas.microsoft.com/office/drawing/2014/main" id="{11E80450-8757-4531-AD73-9B65B8E30FB4}"/>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98" name="Shape 5">
          <a:extLst>
            <a:ext uri="{FF2B5EF4-FFF2-40B4-BE49-F238E27FC236}">
              <a16:creationId xmlns:a16="http://schemas.microsoft.com/office/drawing/2014/main" id="{79D9E5D8-2E02-42FF-B04C-25A9B974A17D}"/>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99" name="Shape 5">
          <a:extLst>
            <a:ext uri="{FF2B5EF4-FFF2-40B4-BE49-F238E27FC236}">
              <a16:creationId xmlns:a16="http://schemas.microsoft.com/office/drawing/2014/main" id="{03C9C548-C090-488E-B05B-B1B058D2C78E}"/>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100" name="Shape 5">
          <a:extLst>
            <a:ext uri="{FF2B5EF4-FFF2-40B4-BE49-F238E27FC236}">
              <a16:creationId xmlns:a16="http://schemas.microsoft.com/office/drawing/2014/main" id="{08F875A6-C0EF-48D7-BE8D-F2A0B1F9FA74}"/>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409575</xdr:colOff>
      <xdr:row>43</xdr:row>
      <xdr:rowOff>0</xdr:rowOff>
    </xdr:from>
    <xdr:ext cx="190500" cy="266700"/>
    <xdr:sp macro="" textlink="">
      <xdr:nvSpPr>
        <xdr:cNvPr id="101" name="Shape 5">
          <a:extLst>
            <a:ext uri="{FF2B5EF4-FFF2-40B4-BE49-F238E27FC236}">
              <a16:creationId xmlns:a16="http://schemas.microsoft.com/office/drawing/2014/main" id="{14D8AA59-5D95-4C9A-90AF-18B2F1464FBD}"/>
            </a:ext>
          </a:extLst>
        </xdr:cNvPr>
        <xdr:cNvSpPr txBox="1"/>
      </xdr:nvSpPr>
      <xdr:spPr>
        <a:xfrm>
          <a:off x="26746200" y="579120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wsDr>
</file>

<file path=xl/drawings/drawing4.xml><?xml version="1.0" encoding="utf-8"?>
<xdr:wsDr xmlns:xdr="http://schemas.openxmlformats.org/drawingml/2006/spreadsheetDrawing" xmlns:a="http://schemas.openxmlformats.org/drawingml/2006/main">
  <xdr:twoCellAnchor>
    <xdr:from>
      <xdr:col>12</xdr:col>
      <xdr:colOff>0</xdr:colOff>
      <xdr:row>1</xdr:row>
      <xdr:rowOff>0</xdr:rowOff>
    </xdr:from>
    <xdr:to>
      <xdr:col>19</xdr:col>
      <xdr:colOff>590550</xdr:colOff>
      <xdr:row>4</xdr:row>
      <xdr:rowOff>445770</xdr:rowOff>
    </xdr:to>
    <xdr:graphicFrame macro="">
      <xdr:nvGraphicFramePr>
        <xdr:cNvPr id="3" name="Chart 2">
          <a:extLst>
            <a:ext uri="{FF2B5EF4-FFF2-40B4-BE49-F238E27FC236}">
              <a16:creationId xmlns:a16="http://schemas.microsoft.com/office/drawing/2014/main" id="{C6670845-16D3-4E99-B525-95C186BF6C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609599</xdr:colOff>
      <xdr:row>8</xdr:row>
      <xdr:rowOff>0</xdr:rowOff>
    </xdr:from>
    <xdr:to>
      <xdr:col>19</xdr:col>
      <xdr:colOff>598169</xdr:colOff>
      <xdr:row>23</xdr:row>
      <xdr:rowOff>36195</xdr:rowOff>
    </xdr:to>
    <xdr:graphicFrame macro="">
      <xdr:nvGraphicFramePr>
        <xdr:cNvPr id="4" name="Chart 3">
          <a:extLst>
            <a:ext uri="{FF2B5EF4-FFF2-40B4-BE49-F238E27FC236}">
              <a16:creationId xmlns:a16="http://schemas.microsoft.com/office/drawing/2014/main" id="{D18E0797-8FB7-4017-A30F-EB121F7CA9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392206</xdr:colOff>
      <xdr:row>31</xdr:row>
      <xdr:rowOff>163607</xdr:rowOff>
    </xdr:from>
    <xdr:to>
      <xdr:col>16</xdr:col>
      <xdr:colOff>156883</xdr:colOff>
      <xdr:row>46</xdr:row>
      <xdr:rowOff>49307</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145676</xdr:colOff>
      <xdr:row>49</xdr:row>
      <xdr:rowOff>118783</xdr:rowOff>
    </xdr:from>
    <xdr:to>
      <xdr:col>12</xdr:col>
      <xdr:colOff>235324</xdr:colOff>
      <xdr:row>64</xdr:row>
      <xdr:rowOff>4483</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190502</xdr:colOff>
      <xdr:row>52</xdr:row>
      <xdr:rowOff>94112</xdr:rowOff>
    </xdr:from>
    <xdr:to>
      <xdr:col>11</xdr:col>
      <xdr:colOff>156882</xdr:colOff>
      <xdr:row>55</xdr:row>
      <xdr:rowOff>150141</xdr:rowOff>
    </xdr:to>
    <xdr:cxnSp macro="">
      <xdr:nvCxnSpPr>
        <xdr:cNvPr id="6" name="Straight Arrow Connector 5">
          <a:extLst>
            <a:ext uri="{FF2B5EF4-FFF2-40B4-BE49-F238E27FC236}">
              <a16:creationId xmlns:a16="http://schemas.microsoft.com/office/drawing/2014/main" id="{FE108941-E5D8-4564-8709-869E17F3FAB2}"/>
            </a:ext>
          </a:extLst>
        </xdr:cNvPr>
        <xdr:cNvCxnSpPr/>
      </xdr:nvCxnSpPr>
      <xdr:spPr>
        <a:xfrm flipH="1" flipV="1">
          <a:off x="4953002" y="10537994"/>
          <a:ext cx="414615" cy="62752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105725</xdr:colOff>
      <xdr:row>53</xdr:row>
      <xdr:rowOff>170274</xdr:rowOff>
    </xdr:from>
    <xdr:to>
      <xdr:col>8</xdr:col>
      <xdr:colOff>425824</xdr:colOff>
      <xdr:row>56</xdr:row>
      <xdr:rowOff>138936</xdr:rowOff>
    </xdr:to>
    <xdr:cxnSp macro="">
      <xdr:nvCxnSpPr>
        <xdr:cNvPr id="7" name="Straight Arrow Connector 6">
          <a:extLst>
            <a:ext uri="{FF2B5EF4-FFF2-40B4-BE49-F238E27FC236}">
              <a16:creationId xmlns:a16="http://schemas.microsoft.com/office/drawing/2014/main" id="{2CC307F6-8218-4CF2-9B24-F228926497AB}"/>
            </a:ext>
          </a:extLst>
        </xdr:cNvPr>
        <xdr:cNvCxnSpPr/>
      </xdr:nvCxnSpPr>
      <xdr:spPr>
        <a:xfrm flipH="1" flipV="1">
          <a:off x="3837284" y="10322803"/>
          <a:ext cx="320099" cy="54016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332625</xdr:colOff>
      <xdr:row>51</xdr:row>
      <xdr:rowOff>1</xdr:rowOff>
    </xdr:from>
    <xdr:ext cx="554062" cy="264560"/>
    <xdr:sp macro="" textlink="">
      <xdr:nvSpPr>
        <xdr:cNvPr id="8" name="TextBox 7">
          <a:extLst>
            <a:ext uri="{FF2B5EF4-FFF2-40B4-BE49-F238E27FC236}">
              <a16:creationId xmlns:a16="http://schemas.microsoft.com/office/drawing/2014/main" id="{9EA83B5A-C982-4DC7-B20D-0E9123584B9D}"/>
            </a:ext>
          </a:extLst>
        </xdr:cNvPr>
        <xdr:cNvSpPr txBox="1"/>
      </xdr:nvSpPr>
      <xdr:spPr>
        <a:xfrm>
          <a:off x="4646890" y="10253383"/>
          <a:ext cx="55406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Target</a:t>
          </a:r>
        </a:p>
      </xdr:txBody>
    </xdr:sp>
    <xdr:clientData/>
  </xdr:oneCellAnchor>
  <xdr:oneCellAnchor>
    <xdr:from>
      <xdr:col>7</xdr:col>
      <xdr:colOff>145676</xdr:colOff>
      <xdr:row>52</xdr:row>
      <xdr:rowOff>112801</xdr:rowOff>
    </xdr:from>
    <xdr:ext cx="640496" cy="264560"/>
    <xdr:sp macro="" textlink="">
      <xdr:nvSpPr>
        <xdr:cNvPr id="9" name="TextBox 8">
          <a:extLst>
            <a:ext uri="{FF2B5EF4-FFF2-40B4-BE49-F238E27FC236}">
              <a16:creationId xmlns:a16="http://schemas.microsoft.com/office/drawing/2014/main" id="{2C3D4222-8AC5-49ED-A51B-92EB1051EBEE}"/>
            </a:ext>
          </a:extLst>
        </xdr:cNvPr>
        <xdr:cNvSpPr txBox="1"/>
      </xdr:nvSpPr>
      <xdr:spPr>
        <a:xfrm>
          <a:off x="3429000" y="10074830"/>
          <a:ext cx="6404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Achived</a:t>
          </a:r>
        </a:p>
      </xdr:txBody>
    </xdr:sp>
    <xdr:clientData/>
  </xdr:oneCellAnchor>
</xdr:wsDr>
</file>

<file path=xl/drawings/drawing6.xml><?xml version="1.0" encoding="utf-8"?>
<c:userShapes xmlns:c="http://schemas.openxmlformats.org/drawingml/2006/chart">
  <cdr:relSizeAnchor xmlns:cdr="http://schemas.openxmlformats.org/drawingml/2006/chartDrawing">
    <cdr:from>
      <cdr:x>0.73656</cdr:x>
      <cdr:y>0.23855</cdr:y>
    </cdr:from>
    <cdr:to>
      <cdr:x>0.88403</cdr:x>
      <cdr:y>0.51634</cdr:y>
    </cdr:to>
    <cdr:cxnSp macro="">
      <cdr:nvCxnSpPr>
        <cdr:cNvPr id="2" name="Straight Arrow Connector 1">
          <a:extLst xmlns:a="http://schemas.openxmlformats.org/drawingml/2006/main">
            <a:ext uri="{FF2B5EF4-FFF2-40B4-BE49-F238E27FC236}">
              <a16:creationId xmlns:a16="http://schemas.microsoft.com/office/drawing/2014/main" id="{FE108941-E5D8-4564-8709-869E17F3FAB2}"/>
            </a:ext>
          </a:extLst>
        </cdr:cNvPr>
        <cdr:cNvCxnSpPr/>
      </cdr:nvCxnSpPr>
      <cdr:spPr>
        <a:xfrm xmlns:a="http://schemas.openxmlformats.org/drawingml/2006/main" flipV="1">
          <a:off x="5422773" y="654401"/>
          <a:ext cx="1085705" cy="762022"/>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0.84601</cdr:x>
      <cdr:y>0.15114</cdr:y>
    </cdr:from>
    <cdr:to>
      <cdr:x>0.93574</cdr:x>
      <cdr:y>0.24758</cdr:y>
    </cdr:to>
    <cdr:sp macro="" textlink="">
      <cdr:nvSpPr>
        <cdr:cNvPr id="3" name="TextBox 7">
          <a:extLst xmlns:a="http://schemas.openxmlformats.org/drawingml/2006/main">
            <a:ext uri="{FF2B5EF4-FFF2-40B4-BE49-F238E27FC236}">
              <a16:creationId xmlns:a16="http://schemas.microsoft.com/office/drawing/2014/main" id="{9EA83B5A-C982-4DC7-B20D-0E9123584B9D}"/>
            </a:ext>
          </a:extLst>
        </cdr:cNvPr>
        <cdr:cNvSpPr txBox="1"/>
      </cdr:nvSpPr>
      <cdr:spPr>
        <a:xfrm xmlns:a="http://schemas.openxmlformats.org/drawingml/2006/main">
          <a:off x="6228534" y="414618"/>
          <a:ext cx="660616" cy="264554"/>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a:t>Target</a:t>
          </a:r>
        </a:p>
      </cdr:txBody>
    </cdr:sp>
  </cdr:relSizeAnchor>
  <cdr:relSizeAnchor xmlns:cdr="http://schemas.openxmlformats.org/drawingml/2006/chartDrawing">
    <cdr:from>
      <cdr:x>0.63814</cdr:x>
      <cdr:y>0.34175</cdr:y>
    </cdr:from>
    <cdr:to>
      <cdr:x>0.68998</cdr:x>
      <cdr:y>0.53866</cdr:y>
    </cdr:to>
    <cdr:cxnSp macro="">
      <cdr:nvCxnSpPr>
        <cdr:cNvPr id="4" name="Straight Arrow Connector 3">
          <a:extLst xmlns:a="http://schemas.openxmlformats.org/drawingml/2006/main">
            <a:ext uri="{FF2B5EF4-FFF2-40B4-BE49-F238E27FC236}">
              <a16:creationId xmlns:a16="http://schemas.microsoft.com/office/drawing/2014/main" id="{2CC307F6-8218-4CF2-9B24-F228926497AB}"/>
            </a:ext>
          </a:extLst>
        </cdr:cNvPr>
        <cdr:cNvCxnSpPr/>
      </cdr:nvCxnSpPr>
      <cdr:spPr>
        <a:xfrm xmlns:a="http://schemas.openxmlformats.org/drawingml/2006/main" flipH="1" flipV="1">
          <a:off x="4118901" y="937502"/>
          <a:ext cx="334606" cy="540163"/>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0.5668</cdr:x>
      <cdr:y>0.23502</cdr:y>
    </cdr:from>
    <cdr:to>
      <cdr:x>0.67053</cdr:x>
      <cdr:y>0.33146</cdr:y>
    </cdr:to>
    <cdr:sp macro="" textlink="">
      <cdr:nvSpPr>
        <cdr:cNvPr id="5" name="TextBox 8">
          <a:extLst xmlns:a="http://schemas.openxmlformats.org/drawingml/2006/main">
            <a:ext uri="{FF2B5EF4-FFF2-40B4-BE49-F238E27FC236}">
              <a16:creationId xmlns:a16="http://schemas.microsoft.com/office/drawing/2014/main" id="{2C3D4222-8AC5-49ED-A51B-92EB1051EBEE}"/>
            </a:ext>
          </a:extLst>
        </cdr:cNvPr>
        <cdr:cNvSpPr txBox="1"/>
      </cdr:nvSpPr>
      <cdr:spPr>
        <a:xfrm xmlns:a="http://schemas.openxmlformats.org/drawingml/2006/main">
          <a:off x="3658441" y="644720"/>
          <a:ext cx="669534" cy="264554"/>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a:t>Achived</a:t>
          </a:r>
        </a:p>
      </cdr:txBody>
    </cdr:sp>
  </cdr:relSizeAnchor>
</c:userShape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7"/>
  <sheetViews>
    <sheetView zoomScale="112" zoomScaleNormal="112" workbookViewId="0">
      <selection activeCell="X20" sqref="X20"/>
    </sheetView>
  </sheetViews>
  <sheetFormatPr defaultColWidth="9.109375" defaultRowHeight="15.6" x14ac:dyDescent="0.3"/>
  <cols>
    <col min="1" max="1" width="7.6640625" style="79" customWidth="1"/>
    <col min="2" max="2" width="5.88671875" style="79" customWidth="1"/>
    <col min="3" max="17" width="5.33203125" style="79" customWidth="1"/>
    <col min="18" max="18" width="10.6640625" style="79" customWidth="1"/>
    <col min="19" max="19" width="5.33203125" style="79" customWidth="1"/>
    <col min="20" max="22" width="9.109375" style="79"/>
    <col min="23" max="23" width="9.109375" style="79" customWidth="1"/>
    <col min="24" max="16384" width="9.109375" style="79"/>
  </cols>
  <sheetData>
    <row r="1" spans="2:18" x14ac:dyDescent="0.3">
      <c r="B1" s="556"/>
      <c r="C1" s="556"/>
      <c r="D1" s="556"/>
      <c r="E1" s="556"/>
      <c r="F1" s="556"/>
      <c r="G1" s="556"/>
      <c r="H1" s="556"/>
      <c r="I1" s="556"/>
      <c r="J1" s="556"/>
      <c r="K1" s="556"/>
      <c r="L1" s="556"/>
      <c r="M1" s="556"/>
      <c r="N1" s="556"/>
      <c r="O1" s="556"/>
      <c r="P1" s="556"/>
      <c r="Q1" s="556"/>
      <c r="R1" s="556"/>
    </row>
    <row r="2" spans="2:18" x14ac:dyDescent="0.3">
      <c r="B2" s="557" t="s">
        <v>345</v>
      </c>
      <c r="C2" s="558"/>
      <c r="D2" s="558"/>
      <c r="E2" s="558"/>
      <c r="F2" s="558"/>
      <c r="G2" s="558"/>
      <c r="H2" s="558"/>
      <c r="I2" s="558"/>
      <c r="J2" s="558"/>
      <c r="K2" s="558"/>
      <c r="L2" s="558"/>
      <c r="M2" s="558"/>
      <c r="N2" s="558"/>
      <c r="O2" s="558"/>
      <c r="P2" s="558"/>
      <c r="Q2" s="558"/>
      <c r="R2" s="559"/>
    </row>
    <row r="3" spans="2:18" x14ac:dyDescent="0.3">
      <c r="B3" s="522" t="s">
        <v>242</v>
      </c>
      <c r="C3" s="80"/>
      <c r="D3" s="80"/>
      <c r="E3" s="80"/>
      <c r="F3" s="80"/>
      <c r="G3" s="80"/>
      <c r="H3" s="80"/>
      <c r="I3" s="80" t="s">
        <v>222</v>
      </c>
      <c r="J3" s="80"/>
      <c r="K3" s="80" t="s">
        <v>368</v>
      </c>
      <c r="L3" s="80"/>
      <c r="M3" s="80"/>
      <c r="N3" s="80"/>
      <c r="O3" s="556" t="s">
        <v>334</v>
      </c>
      <c r="P3" s="556"/>
      <c r="Q3" s="556" t="s">
        <v>346</v>
      </c>
      <c r="R3" s="560"/>
    </row>
    <row r="4" spans="2:18" x14ac:dyDescent="0.3">
      <c r="B4" s="553" t="s">
        <v>369</v>
      </c>
      <c r="C4" s="554"/>
      <c r="D4" s="554"/>
      <c r="E4" s="554"/>
      <c r="F4" s="554"/>
      <c r="G4" s="554"/>
      <c r="H4" s="554"/>
      <c r="I4" s="554"/>
      <c r="J4" s="554"/>
      <c r="K4" s="554"/>
      <c r="L4" s="554"/>
      <c r="M4" s="554"/>
      <c r="N4" s="554"/>
      <c r="O4" s="554"/>
      <c r="P4" s="554"/>
      <c r="Q4" s="554"/>
      <c r="R4" s="555"/>
    </row>
    <row r="5" spans="2:18" x14ac:dyDescent="0.3">
      <c r="B5" s="543"/>
      <c r="C5" s="543"/>
      <c r="D5" s="543"/>
      <c r="E5" s="543"/>
      <c r="F5" s="543"/>
      <c r="G5" s="543"/>
      <c r="H5" s="543"/>
      <c r="I5" s="543"/>
      <c r="J5" s="543"/>
      <c r="K5" s="543"/>
      <c r="L5" s="543"/>
      <c r="M5" s="543"/>
      <c r="N5" s="543"/>
      <c r="O5" s="543"/>
      <c r="P5" s="543"/>
      <c r="Q5" s="543"/>
      <c r="R5" s="543"/>
    </row>
    <row r="6" spans="2:18" ht="15" customHeight="1" x14ac:dyDescent="0.3">
      <c r="B6" s="544" t="s">
        <v>807</v>
      </c>
      <c r="C6" s="545"/>
      <c r="D6" s="545"/>
      <c r="E6" s="545"/>
      <c r="F6" s="545"/>
      <c r="G6" s="545"/>
      <c r="H6" s="545"/>
      <c r="I6" s="545"/>
      <c r="J6" s="545"/>
      <c r="K6" s="545"/>
      <c r="L6" s="545"/>
      <c r="M6" s="545"/>
      <c r="N6" s="545"/>
      <c r="O6" s="545"/>
      <c r="P6" s="545"/>
      <c r="Q6" s="545"/>
      <c r="R6" s="546"/>
    </row>
    <row r="7" spans="2:18" ht="15" customHeight="1" x14ac:dyDescent="0.3">
      <c r="B7" s="521"/>
      <c r="C7" s="521"/>
      <c r="D7" s="521"/>
      <c r="E7" s="521"/>
      <c r="F7" s="521"/>
      <c r="G7" s="521"/>
      <c r="H7" s="521"/>
      <c r="I7" s="521"/>
      <c r="J7" s="521"/>
      <c r="K7" s="521"/>
      <c r="L7" s="521"/>
      <c r="M7" s="521"/>
      <c r="N7" s="521"/>
      <c r="O7" s="521"/>
      <c r="P7" s="521"/>
      <c r="Q7" s="521"/>
      <c r="R7" s="521"/>
    </row>
    <row r="8" spans="2:18" ht="15" customHeight="1" x14ac:dyDescent="0.3">
      <c r="B8" s="547" t="s">
        <v>808</v>
      </c>
      <c r="C8" s="548"/>
      <c r="D8" s="548"/>
      <c r="E8" s="548"/>
      <c r="F8" s="548"/>
      <c r="G8" s="548"/>
      <c r="H8" s="548"/>
      <c r="I8" s="548"/>
      <c r="J8" s="548"/>
      <c r="K8" s="548"/>
      <c r="L8" s="548"/>
      <c r="M8" s="548"/>
      <c r="N8" s="548"/>
      <c r="O8" s="548"/>
      <c r="P8" s="548"/>
      <c r="Q8" s="548"/>
      <c r="R8" s="549"/>
    </row>
    <row r="9" spans="2:18" ht="15" customHeight="1" x14ac:dyDescent="0.3">
      <c r="B9" s="550"/>
      <c r="C9" s="551"/>
      <c r="D9" s="551"/>
      <c r="E9" s="551"/>
      <c r="F9" s="551"/>
      <c r="G9" s="551"/>
      <c r="H9" s="551"/>
      <c r="I9" s="551"/>
      <c r="J9" s="551"/>
      <c r="K9" s="551"/>
      <c r="L9" s="551"/>
      <c r="M9" s="551"/>
      <c r="N9" s="551"/>
      <c r="O9" s="551"/>
      <c r="P9" s="551"/>
      <c r="Q9" s="551"/>
      <c r="R9" s="552"/>
    </row>
    <row r="10" spans="2:18" ht="15" customHeight="1" x14ac:dyDescent="0.3">
      <c r="B10" s="521"/>
      <c r="C10" s="521"/>
      <c r="D10" s="521"/>
      <c r="E10" s="521"/>
      <c r="F10" s="521"/>
      <c r="G10" s="521"/>
      <c r="H10" s="521"/>
      <c r="I10" s="521"/>
      <c r="J10" s="521"/>
      <c r="K10" s="521"/>
      <c r="L10" s="521"/>
      <c r="M10" s="521"/>
      <c r="N10" s="521"/>
      <c r="O10" s="521"/>
      <c r="P10" s="521"/>
      <c r="Q10" s="521"/>
      <c r="R10" s="521"/>
    </row>
    <row r="11" spans="2:18" ht="15" customHeight="1" x14ac:dyDescent="0.3">
      <c r="B11" s="544" t="s">
        <v>809</v>
      </c>
      <c r="C11" s="545"/>
      <c r="D11" s="545"/>
      <c r="E11" s="545"/>
      <c r="F11" s="545"/>
      <c r="G11" s="545"/>
      <c r="H11" s="545"/>
      <c r="I11" s="545"/>
      <c r="J11" s="545"/>
      <c r="K11" s="545"/>
      <c r="L11" s="545"/>
      <c r="M11" s="545"/>
      <c r="N11" s="545"/>
      <c r="O11" s="545"/>
      <c r="P11" s="545"/>
      <c r="Q11" s="545"/>
      <c r="R11" s="546"/>
    </row>
    <row r="12" spans="2:18" x14ac:dyDescent="0.3">
      <c r="B12" s="521"/>
      <c r="C12" s="521"/>
      <c r="D12" s="521"/>
      <c r="E12" s="521"/>
      <c r="F12" s="521"/>
      <c r="G12" s="521"/>
      <c r="H12" s="521"/>
      <c r="I12" s="521"/>
      <c r="J12" s="521"/>
      <c r="K12" s="521"/>
      <c r="L12" s="521"/>
      <c r="M12" s="521"/>
      <c r="N12" s="521"/>
      <c r="O12" s="521"/>
      <c r="P12" s="521"/>
      <c r="Q12" s="521"/>
      <c r="R12" s="521"/>
    </row>
    <row r="13" spans="2:18" ht="17.399999999999999" customHeight="1" x14ac:dyDescent="0.3">
      <c r="B13" s="561" t="s">
        <v>810</v>
      </c>
      <c r="C13" s="562"/>
      <c r="D13" s="562"/>
      <c r="E13" s="562"/>
      <c r="F13" s="562"/>
      <c r="G13" s="562"/>
      <c r="H13" s="562"/>
      <c r="I13" s="562"/>
      <c r="J13" s="562"/>
      <c r="K13" s="562"/>
      <c r="L13" s="562"/>
      <c r="M13" s="562"/>
      <c r="N13" s="562"/>
      <c r="O13" s="562"/>
      <c r="P13" s="562"/>
      <c r="Q13" s="562"/>
      <c r="R13" s="563"/>
    </row>
    <row r="14" spans="2:18" x14ac:dyDescent="0.3">
      <c r="B14" s="564"/>
      <c r="C14" s="565"/>
      <c r="D14" s="565"/>
      <c r="E14" s="565"/>
      <c r="F14" s="565"/>
      <c r="G14" s="565"/>
      <c r="H14" s="565"/>
      <c r="I14" s="565"/>
      <c r="J14" s="565"/>
      <c r="K14" s="565"/>
      <c r="L14" s="565"/>
      <c r="M14" s="565"/>
      <c r="N14" s="565"/>
      <c r="O14" s="565"/>
      <c r="P14" s="565"/>
      <c r="Q14" s="565"/>
      <c r="R14" s="566"/>
    </row>
    <row r="15" spans="2:18" x14ac:dyDescent="0.3">
      <c r="B15" s="564"/>
      <c r="C15" s="565"/>
      <c r="D15" s="565"/>
      <c r="E15" s="565"/>
      <c r="F15" s="565"/>
      <c r="G15" s="565"/>
      <c r="H15" s="565"/>
      <c r="I15" s="565"/>
      <c r="J15" s="565"/>
      <c r="K15" s="565"/>
      <c r="L15" s="565"/>
      <c r="M15" s="565"/>
      <c r="N15" s="565"/>
      <c r="O15" s="565"/>
      <c r="P15" s="565"/>
      <c r="Q15" s="565"/>
      <c r="R15" s="566"/>
    </row>
    <row r="16" spans="2:18" ht="15" customHeight="1" x14ac:dyDescent="0.3">
      <c r="B16" s="564"/>
      <c r="C16" s="565"/>
      <c r="D16" s="565"/>
      <c r="E16" s="565"/>
      <c r="F16" s="565"/>
      <c r="G16" s="565"/>
      <c r="H16" s="565"/>
      <c r="I16" s="565"/>
      <c r="J16" s="565"/>
      <c r="K16" s="565"/>
      <c r="L16" s="565"/>
      <c r="M16" s="565"/>
      <c r="N16" s="565"/>
      <c r="O16" s="565"/>
      <c r="P16" s="565"/>
      <c r="Q16" s="565"/>
      <c r="R16" s="566"/>
    </row>
    <row r="17" spans="1:18" s="83" customFormat="1" ht="19.8" customHeight="1" x14ac:dyDescent="0.3">
      <c r="B17" s="564"/>
      <c r="C17" s="565"/>
      <c r="D17" s="565"/>
      <c r="E17" s="565"/>
      <c r="F17" s="565"/>
      <c r="G17" s="565"/>
      <c r="H17" s="565"/>
      <c r="I17" s="565"/>
      <c r="J17" s="565"/>
      <c r="K17" s="565"/>
      <c r="L17" s="565"/>
      <c r="M17" s="565"/>
      <c r="N17" s="565"/>
      <c r="O17" s="565"/>
      <c r="P17" s="565"/>
      <c r="Q17" s="565"/>
      <c r="R17" s="566"/>
    </row>
    <row r="18" spans="1:18" x14ac:dyDescent="0.3">
      <c r="B18" s="564"/>
      <c r="C18" s="565"/>
      <c r="D18" s="565"/>
      <c r="E18" s="565"/>
      <c r="F18" s="565"/>
      <c r="G18" s="565"/>
      <c r="H18" s="565"/>
      <c r="I18" s="565"/>
      <c r="J18" s="565"/>
      <c r="K18" s="565"/>
      <c r="L18" s="565"/>
      <c r="M18" s="565"/>
      <c r="N18" s="565"/>
      <c r="O18" s="565"/>
      <c r="P18" s="565"/>
      <c r="Q18" s="565"/>
      <c r="R18" s="566"/>
    </row>
    <row r="19" spans="1:18" ht="15" customHeight="1" x14ac:dyDescent="0.3">
      <c r="B19" s="564"/>
      <c r="C19" s="565"/>
      <c r="D19" s="565"/>
      <c r="E19" s="565"/>
      <c r="F19" s="565"/>
      <c r="G19" s="565"/>
      <c r="H19" s="565"/>
      <c r="I19" s="565"/>
      <c r="J19" s="565"/>
      <c r="K19" s="565"/>
      <c r="L19" s="565"/>
      <c r="M19" s="565"/>
      <c r="N19" s="565"/>
      <c r="O19" s="565"/>
      <c r="P19" s="565"/>
      <c r="Q19" s="565"/>
      <c r="R19" s="566"/>
    </row>
    <row r="20" spans="1:18" ht="23.4" customHeight="1" x14ac:dyDescent="0.3">
      <c r="B20" s="564"/>
      <c r="C20" s="565"/>
      <c r="D20" s="565"/>
      <c r="E20" s="565"/>
      <c r="F20" s="565"/>
      <c r="G20" s="565"/>
      <c r="H20" s="565"/>
      <c r="I20" s="565"/>
      <c r="J20" s="565"/>
      <c r="K20" s="565"/>
      <c r="L20" s="565"/>
      <c r="M20" s="565"/>
      <c r="N20" s="565"/>
      <c r="O20" s="565"/>
      <c r="P20" s="565"/>
      <c r="Q20" s="565"/>
      <c r="R20" s="566"/>
    </row>
    <row r="21" spans="1:18" ht="28.2" customHeight="1" x14ac:dyDescent="0.3">
      <c r="B21" s="567"/>
      <c r="C21" s="568"/>
      <c r="D21" s="568"/>
      <c r="E21" s="568"/>
      <c r="F21" s="568"/>
      <c r="G21" s="568"/>
      <c r="H21" s="568"/>
      <c r="I21" s="568"/>
      <c r="J21" s="568"/>
      <c r="K21" s="568"/>
      <c r="L21" s="568"/>
      <c r="M21" s="568"/>
      <c r="N21" s="568"/>
      <c r="O21" s="568"/>
      <c r="P21" s="568"/>
      <c r="Q21" s="568"/>
      <c r="R21" s="569"/>
    </row>
    <row r="22" spans="1:18" ht="17.399999999999999" customHeight="1" x14ac:dyDescent="0.3">
      <c r="B22" s="524"/>
      <c r="C22" s="524"/>
      <c r="D22" s="524"/>
      <c r="E22" s="524"/>
      <c r="F22" s="524"/>
      <c r="G22" s="524"/>
      <c r="H22" s="524"/>
      <c r="I22" s="524"/>
      <c r="J22" s="524"/>
      <c r="K22" s="524"/>
      <c r="L22" s="524"/>
      <c r="M22" s="524"/>
      <c r="N22" s="524"/>
      <c r="O22" s="524"/>
      <c r="P22" s="524"/>
      <c r="Q22" s="524"/>
      <c r="R22" s="524"/>
    </row>
    <row r="23" spans="1:18" ht="25.2" customHeight="1" x14ac:dyDescent="0.3">
      <c r="B23" s="547" t="s">
        <v>811</v>
      </c>
      <c r="C23" s="548"/>
      <c r="D23" s="548"/>
      <c r="E23" s="548"/>
      <c r="F23" s="548"/>
      <c r="G23" s="548"/>
      <c r="H23" s="548"/>
      <c r="I23" s="548"/>
      <c r="J23" s="548"/>
      <c r="K23" s="548"/>
      <c r="L23" s="548"/>
      <c r="M23" s="548"/>
      <c r="N23" s="548"/>
      <c r="O23" s="548"/>
      <c r="P23" s="548"/>
      <c r="Q23" s="548"/>
      <c r="R23" s="549"/>
    </row>
    <row r="24" spans="1:18" ht="21.6" customHeight="1" x14ac:dyDescent="0.3">
      <c r="B24" s="550"/>
      <c r="C24" s="551"/>
      <c r="D24" s="551"/>
      <c r="E24" s="551"/>
      <c r="F24" s="551"/>
      <c r="G24" s="551"/>
      <c r="H24" s="551"/>
      <c r="I24" s="551"/>
      <c r="J24" s="551"/>
      <c r="K24" s="551"/>
      <c r="L24" s="551"/>
      <c r="M24" s="551"/>
      <c r="N24" s="551"/>
      <c r="O24" s="551"/>
      <c r="P24" s="551"/>
      <c r="Q24" s="551"/>
      <c r="R24" s="552"/>
    </row>
    <row r="25" spans="1:18" s="82" customFormat="1" ht="30" customHeight="1" x14ac:dyDescent="0.3">
      <c r="B25" s="523"/>
      <c r="C25" s="523"/>
      <c r="D25" s="523"/>
      <c r="E25" s="523"/>
      <c r="F25" s="523"/>
      <c r="G25" s="523"/>
      <c r="H25" s="523"/>
      <c r="I25" s="523"/>
      <c r="J25" s="523"/>
      <c r="K25" s="523"/>
      <c r="L25" s="523"/>
      <c r="M25" s="523"/>
      <c r="N25" s="523"/>
      <c r="O25" s="523"/>
      <c r="P25" s="523"/>
      <c r="Q25" s="523"/>
      <c r="R25" s="523"/>
    </row>
    <row r="26" spans="1:18" s="82" customFormat="1" ht="30" customHeight="1" x14ac:dyDescent="0.3">
      <c r="B26" s="521"/>
      <c r="C26" s="521"/>
      <c r="D26" s="521"/>
      <c r="E26" s="521"/>
      <c r="F26" s="521"/>
      <c r="G26" s="521"/>
      <c r="H26" s="521"/>
      <c r="I26" s="521"/>
      <c r="J26" s="521"/>
      <c r="K26" s="521"/>
      <c r="L26" s="521"/>
      <c r="M26" s="521"/>
      <c r="N26" s="521"/>
      <c r="O26" s="521"/>
      <c r="P26" s="521"/>
      <c r="Q26" s="521"/>
      <c r="R26" s="521"/>
    </row>
    <row r="27" spans="1:18" s="82" customFormat="1" ht="30" customHeight="1" x14ac:dyDescent="0.3">
      <c r="B27" s="523"/>
      <c r="C27" s="523"/>
      <c r="D27" s="523"/>
      <c r="E27" s="523"/>
      <c r="F27" s="523"/>
      <c r="G27" s="523"/>
      <c r="H27" s="523"/>
      <c r="I27" s="523"/>
      <c r="J27" s="523"/>
      <c r="K27" s="523"/>
      <c r="L27" s="523"/>
      <c r="M27" s="523"/>
      <c r="N27" s="523"/>
      <c r="O27" s="523"/>
      <c r="P27" s="523"/>
      <c r="Q27" s="523"/>
      <c r="R27" s="523"/>
    </row>
    <row r="28" spans="1:18" ht="15" customHeight="1" x14ac:dyDescent="0.3">
      <c r="B28" s="83"/>
      <c r="C28" s="83"/>
      <c r="D28" s="83"/>
      <c r="E28" s="83"/>
      <c r="F28" s="83"/>
      <c r="G28" s="83"/>
      <c r="H28" s="83"/>
      <c r="I28" s="83"/>
      <c r="J28" s="83"/>
      <c r="K28" s="83"/>
      <c r="L28" s="83"/>
      <c r="M28" s="83"/>
      <c r="N28" s="83"/>
      <c r="O28" s="83"/>
      <c r="P28" s="83"/>
      <c r="Q28" s="83"/>
      <c r="R28" s="83"/>
    </row>
    <row r="29" spans="1:18" ht="15" customHeight="1" x14ac:dyDescent="0.3">
      <c r="B29" s="81"/>
      <c r="C29" s="81"/>
      <c r="D29" s="81"/>
      <c r="E29" s="81"/>
      <c r="F29" s="81"/>
      <c r="G29" s="81"/>
      <c r="H29" s="81"/>
      <c r="I29" s="81"/>
      <c r="J29" s="81"/>
      <c r="K29" s="81"/>
      <c r="L29" s="81"/>
      <c r="M29" s="81"/>
      <c r="N29" s="81"/>
      <c r="O29" s="81"/>
      <c r="P29" s="81"/>
      <c r="Q29" s="81"/>
      <c r="R29" s="81"/>
    </row>
    <row r="30" spans="1:18" x14ac:dyDescent="0.3">
      <c r="B30" s="85" t="s">
        <v>106</v>
      </c>
      <c r="C30" s="82"/>
      <c r="D30" s="82"/>
      <c r="E30" s="82"/>
      <c r="F30" s="82"/>
      <c r="G30" s="82"/>
      <c r="H30" s="82"/>
      <c r="I30" s="82"/>
      <c r="J30" s="82"/>
      <c r="K30" s="82"/>
      <c r="L30" s="82"/>
      <c r="M30" s="82"/>
      <c r="N30" s="82"/>
      <c r="O30" s="82"/>
      <c r="P30" s="82"/>
      <c r="Q30" s="82"/>
      <c r="R30" s="82"/>
    </row>
    <row r="31" spans="1:18" s="86" customFormat="1" ht="33.75" customHeight="1" x14ac:dyDescent="0.3">
      <c r="A31" s="174" t="s">
        <v>35</v>
      </c>
      <c r="B31" s="573" t="s">
        <v>316</v>
      </c>
      <c r="C31" s="574"/>
      <c r="D31" s="574"/>
      <c r="E31" s="574"/>
      <c r="F31" s="574"/>
      <c r="G31" s="574"/>
      <c r="H31" s="574"/>
      <c r="I31" s="574"/>
      <c r="J31" s="574"/>
      <c r="K31" s="574"/>
      <c r="L31" s="574"/>
      <c r="M31" s="574"/>
      <c r="N31" s="574"/>
      <c r="O31" s="574"/>
      <c r="P31" s="574"/>
      <c r="Q31" s="574"/>
      <c r="R31" s="575"/>
    </row>
    <row r="32" spans="1:18" s="86" customFormat="1" ht="35.25" customHeight="1" x14ac:dyDescent="0.3">
      <c r="A32" s="175" t="s">
        <v>36</v>
      </c>
      <c r="B32" s="573" t="s">
        <v>317</v>
      </c>
      <c r="C32" s="574"/>
      <c r="D32" s="574"/>
      <c r="E32" s="574"/>
      <c r="F32" s="574"/>
      <c r="G32" s="574"/>
      <c r="H32" s="574"/>
      <c r="I32" s="574"/>
      <c r="J32" s="574"/>
      <c r="K32" s="574"/>
      <c r="L32" s="574"/>
      <c r="M32" s="574"/>
      <c r="N32" s="574"/>
      <c r="O32" s="574"/>
      <c r="P32" s="574"/>
      <c r="Q32" s="574"/>
      <c r="R32" s="575"/>
    </row>
    <row r="33" spans="1:18" s="86" customFormat="1" ht="48.75" customHeight="1" x14ac:dyDescent="0.3">
      <c r="A33" s="176" t="s">
        <v>37</v>
      </c>
      <c r="B33" s="573" t="s">
        <v>318</v>
      </c>
      <c r="C33" s="574"/>
      <c r="D33" s="574"/>
      <c r="E33" s="574"/>
      <c r="F33" s="574"/>
      <c r="G33" s="574"/>
      <c r="H33" s="574"/>
      <c r="I33" s="574"/>
      <c r="J33" s="574"/>
      <c r="K33" s="574"/>
      <c r="L33" s="574"/>
      <c r="M33" s="574"/>
      <c r="N33" s="574"/>
      <c r="O33" s="574"/>
      <c r="P33" s="574"/>
      <c r="Q33" s="574"/>
      <c r="R33" s="575"/>
    </row>
    <row r="34" spans="1:18" s="86" customFormat="1" ht="45.75" customHeight="1" x14ac:dyDescent="0.3">
      <c r="A34" s="176" t="s">
        <v>38</v>
      </c>
      <c r="B34" s="573" t="s">
        <v>319</v>
      </c>
      <c r="C34" s="574"/>
      <c r="D34" s="574"/>
      <c r="E34" s="574"/>
      <c r="F34" s="574"/>
      <c r="G34" s="574"/>
      <c r="H34" s="574"/>
      <c r="I34" s="574"/>
      <c r="J34" s="574"/>
      <c r="K34" s="574"/>
      <c r="L34" s="574"/>
      <c r="M34" s="574"/>
      <c r="N34" s="574"/>
      <c r="O34" s="574"/>
      <c r="P34" s="574"/>
      <c r="Q34" s="574"/>
      <c r="R34" s="575"/>
    </row>
    <row r="35" spans="1:18" s="86" customFormat="1" ht="34.5" customHeight="1" x14ac:dyDescent="0.3">
      <c r="A35" s="176" t="s">
        <v>39</v>
      </c>
      <c r="B35" s="573" t="s">
        <v>320</v>
      </c>
      <c r="C35" s="574"/>
      <c r="D35" s="574"/>
      <c r="E35" s="574"/>
      <c r="F35" s="574"/>
      <c r="G35" s="574"/>
      <c r="H35" s="574"/>
      <c r="I35" s="574"/>
      <c r="J35" s="574"/>
      <c r="K35" s="574"/>
      <c r="L35" s="574"/>
      <c r="M35" s="574"/>
      <c r="N35" s="574"/>
      <c r="O35" s="574"/>
      <c r="P35" s="574"/>
      <c r="Q35" s="574"/>
      <c r="R35" s="575"/>
    </row>
    <row r="36" spans="1:18" s="86" customFormat="1" ht="47.25" customHeight="1" x14ac:dyDescent="0.3">
      <c r="A36" s="176" t="s">
        <v>40</v>
      </c>
      <c r="B36" s="573" t="s">
        <v>321</v>
      </c>
      <c r="C36" s="574"/>
      <c r="D36" s="574"/>
      <c r="E36" s="574"/>
      <c r="F36" s="574"/>
      <c r="G36" s="574"/>
      <c r="H36" s="574"/>
      <c r="I36" s="574"/>
      <c r="J36" s="574"/>
      <c r="K36" s="574"/>
      <c r="L36" s="574"/>
      <c r="M36" s="574"/>
      <c r="N36" s="574"/>
      <c r="O36" s="574"/>
      <c r="P36" s="574"/>
      <c r="Q36" s="574"/>
      <c r="R36" s="575"/>
    </row>
    <row r="37" spans="1:18" s="86" customFormat="1" ht="36.75" customHeight="1" x14ac:dyDescent="0.3">
      <c r="A37" s="175" t="s">
        <v>41</v>
      </c>
      <c r="B37" s="573" t="s">
        <v>322</v>
      </c>
      <c r="C37" s="576"/>
      <c r="D37" s="576"/>
      <c r="E37" s="576"/>
      <c r="F37" s="576"/>
      <c r="G37" s="576"/>
      <c r="H37" s="576"/>
      <c r="I37" s="576"/>
      <c r="J37" s="576"/>
      <c r="K37" s="576"/>
      <c r="L37" s="576"/>
      <c r="M37" s="576"/>
      <c r="N37" s="576"/>
      <c r="O37" s="576"/>
      <c r="P37" s="576"/>
      <c r="Q37" s="576"/>
      <c r="R37" s="577"/>
    </row>
    <row r="38" spans="1:18" x14ac:dyDescent="0.3">
      <c r="B38" s="82"/>
      <c r="C38" s="82"/>
      <c r="D38" s="82"/>
      <c r="E38" s="82"/>
      <c r="F38" s="82"/>
      <c r="G38" s="82"/>
      <c r="H38" s="82"/>
      <c r="I38" s="82"/>
      <c r="J38" s="82"/>
      <c r="K38" s="82"/>
      <c r="L38" s="82"/>
      <c r="M38" s="82"/>
      <c r="N38" s="82"/>
      <c r="O38" s="82"/>
      <c r="P38" s="82"/>
      <c r="Q38" s="82"/>
      <c r="R38" s="82"/>
    </row>
    <row r="39" spans="1:18" x14ac:dyDescent="0.3">
      <c r="B39" s="543" t="s">
        <v>107</v>
      </c>
      <c r="C39" s="543"/>
      <c r="D39" s="543"/>
      <c r="E39" s="543"/>
      <c r="F39" s="543"/>
      <c r="G39" s="543"/>
      <c r="H39" s="543"/>
      <c r="I39" s="543"/>
      <c r="J39" s="543"/>
      <c r="K39" s="543"/>
      <c r="L39" s="82"/>
      <c r="M39" s="82"/>
      <c r="N39" s="82"/>
      <c r="O39" s="82"/>
      <c r="P39" s="82"/>
      <c r="Q39" s="82"/>
      <c r="R39" s="82"/>
    </row>
    <row r="40" spans="1:18" s="82" customFormat="1" ht="30" customHeight="1" x14ac:dyDescent="0.3">
      <c r="A40" s="177" t="s">
        <v>47</v>
      </c>
      <c r="B40" s="570" t="s">
        <v>332</v>
      </c>
      <c r="C40" s="571"/>
      <c r="D40" s="571"/>
      <c r="E40" s="571"/>
      <c r="F40" s="571"/>
      <c r="G40" s="571"/>
      <c r="H40" s="571"/>
      <c r="I40" s="571"/>
      <c r="J40" s="571"/>
      <c r="K40" s="571"/>
      <c r="L40" s="571"/>
      <c r="M40" s="571"/>
      <c r="N40" s="571"/>
      <c r="O40" s="571"/>
      <c r="P40" s="571"/>
      <c r="Q40" s="571"/>
      <c r="R40" s="572"/>
    </row>
    <row r="41" spans="1:18" s="82" customFormat="1" ht="30" customHeight="1" x14ac:dyDescent="0.3">
      <c r="A41" s="177" t="s">
        <v>48</v>
      </c>
      <c r="B41" s="540" t="s">
        <v>333</v>
      </c>
      <c r="C41" s="541"/>
      <c r="D41" s="541"/>
      <c r="E41" s="541"/>
      <c r="F41" s="541"/>
      <c r="G41" s="541"/>
      <c r="H41" s="541"/>
      <c r="I41" s="541"/>
      <c r="J41" s="541"/>
      <c r="K41" s="541"/>
      <c r="L41" s="541"/>
      <c r="M41" s="541"/>
      <c r="N41" s="541"/>
      <c r="O41" s="541"/>
      <c r="P41" s="541"/>
      <c r="Q41" s="541"/>
      <c r="R41" s="542"/>
    </row>
    <row r="42" spans="1:18" x14ac:dyDescent="0.3">
      <c r="L42" s="58"/>
      <c r="M42" s="58"/>
      <c r="N42" s="58"/>
      <c r="O42" s="58"/>
      <c r="P42" s="58"/>
      <c r="Q42" s="58"/>
    </row>
    <row r="43" spans="1:18" x14ac:dyDescent="0.3">
      <c r="O43" s="127"/>
      <c r="P43" s="127"/>
    </row>
    <row r="44" spans="1:18" x14ac:dyDescent="0.3">
      <c r="O44" s="127"/>
      <c r="P44" s="127"/>
    </row>
    <row r="45" spans="1:18" x14ac:dyDescent="0.3">
      <c r="O45" s="128"/>
      <c r="P45" s="128"/>
    </row>
    <row r="46" spans="1:18" x14ac:dyDescent="0.3">
      <c r="O46" s="128"/>
      <c r="P46" s="128"/>
    </row>
    <row r="47" spans="1:18" x14ac:dyDescent="0.3">
      <c r="L47" s="128"/>
      <c r="M47" s="128"/>
      <c r="N47" s="128"/>
      <c r="O47" s="128"/>
      <c r="P47" s="128"/>
    </row>
  </sheetData>
  <mergeCells count="21">
    <mergeCell ref="B4:R4"/>
    <mergeCell ref="B1:R1"/>
    <mergeCell ref="B2:R2"/>
    <mergeCell ref="O3:P3"/>
    <mergeCell ref="Q3:R3"/>
    <mergeCell ref="B41:R41"/>
    <mergeCell ref="B39:K39"/>
    <mergeCell ref="B5:R5"/>
    <mergeCell ref="B6:R6"/>
    <mergeCell ref="B8:R9"/>
    <mergeCell ref="B13:R21"/>
    <mergeCell ref="B23:R24"/>
    <mergeCell ref="B11:R11"/>
    <mergeCell ref="B40:R40"/>
    <mergeCell ref="B35:R35"/>
    <mergeCell ref="B31:R31"/>
    <mergeCell ref="B32:R32"/>
    <mergeCell ref="B33:R33"/>
    <mergeCell ref="B34:R34"/>
    <mergeCell ref="B36:R36"/>
    <mergeCell ref="B37:R37"/>
  </mergeCells>
  <pageMargins left="0.7" right="0.7" top="0.75" bottom="0.75" header="0.3" footer="0.3"/>
  <pageSetup paperSize="9" scale="8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R24"/>
  <sheetViews>
    <sheetView zoomScaleNormal="100" zoomScaleSheetLayoutView="115" workbookViewId="0">
      <selection activeCell="I8" sqref="I8"/>
    </sheetView>
  </sheetViews>
  <sheetFormatPr defaultColWidth="9.109375" defaultRowHeight="20.100000000000001" customHeight="1" x14ac:dyDescent="0.3"/>
  <cols>
    <col min="1" max="1" width="9.109375" style="79"/>
    <col min="2" max="2" width="79.33203125" style="79" customWidth="1"/>
    <col min="3" max="3" width="43.33203125" style="79" customWidth="1"/>
    <col min="4" max="4" width="9.109375" style="79"/>
    <col min="5" max="5" width="19.109375" style="79" customWidth="1"/>
    <col min="6" max="16384" width="9.109375" style="79"/>
  </cols>
  <sheetData>
    <row r="1" spans="1:18" ht="20.100000000000001" customHeight="1" thickBot="1" x14ac:dyDescent="0.35">
      <c r="B1" s="585"/>
      <c r="C1" s="586"/>
    </row>
    <row r="2" spans="1:18" s="166" customFormat="1" ht="18.75" customHeight="1" x14ac:dyDescent="0.3">
      <c r="B2" s="587"/>
      <c r="C2" s="588"/>
      <c r="D2" s="168"/>
      <c r="E2" s="168"/>
      <c r="F2" s="168"/>
      <c r="G2" s="168"/>
      <c r="H2" s="168"/>
      <c r="I2" s="168"/>
      <c r="J2" s="168"/>
      <c r="K2" s="168"/>
      <c r="L2" s="168"/>
      <c r="M2" s="168"/>
      <c r="N2" s="168"/>
      <c r="O2" s="168"/>
      <c r="P2" s="168"/>
      <c r="Q2" s="168"/>
      <c r="R2" s="168"/>
    </row>
    <row r="3" spans="1:18" s="166" customFormat="1" ht="16.2" thickBot="1" x14ac:dyDescent="0.35">
      <c r="B3" s="585" t="s">
        <v>347</v>
      </c>
      <c r="C3" s="586"/>
      <c r="D3" s="169"/>
      <c r="E3" s="169"/>
      <c r="F3" s="169"/>
      <c r="G3" s="169"/>
      <c r="H3" s="169"/>
      <c r="I3" s="169"/>
      <c r="J3" s="169"/>
      <c r="K3" s="169"/>
      <c r="L3" s="169"/>
      <c r="M3" s="169"/>
      <c r="N3" s="169"/>
      <c r="O3" s="169"/>
      <c r="P3" s="169"/>
      <c r="Q3" s="169"/>
      <c r="R3" s="169"/>
    </row>
    <row r="4" spans="1:18" s="166" customFormat="1" ht="16.2" thickBot="1" x14ac:dyDescent="0.35">
      <c r="A4" s="165"/>
      <c r="B4" s="599" t="s">
        <v>242</v>
      </c>
      <c r="C4" s="599"/>
      <c r="D4" s="169"/>
      <c r="E4" s="169"/>
      <c r="F4" s="169"/>
      <c r="G4" s="169"/>
      <c r="H4" s="169"/>
      <c r="I4" s="169"/>
      <c r="J4" s="169"/>
      <c r="K4" s="169"/>
      <c r="L4" s="169"/>
      <c r="M4" s="169"/>
      <c r="N4" s="169"/>
      <c r="O4" s="169"/>
      <c r="P4" s="169"/>
      <c r="Q4" s="169"/>
      <c r="R4" s="169"/>
    </row>
    <row r="5" spans="1:18" ht="20.100000000000001" customHeight="1" x14ac:dyDescent="0.3">
      <c r="B5" s="591"/>
      <c r="C5" s="592"/>
    </row>
    <row r="6" spans="1:18" ht="20.100000000000001" customHeight="1" x14ac:dyDescent="0.3">
      <c r="B6" s="593" t="s">
        <v>370</v>
      </c>
      <c r="C6" s="594"/>
    </row>
    <row r="7" spans="1:18" ht="20.100000000000001" customHeight="1" thickBot="1" x14ac:dyDescent="0.35">
      <c r="B7" s="595" t="s">
        <v>371</v>
      </c>
      <c r="C7" s="596"/>
    </row>
    <row r="8" spans="1:18" ht="20.100000000000001" customHeight="1" thickBot="1" x14ac:dyDescent="0.35">
      <c r="B8" s="600" t="s">
        <v>372</v>
      </c>
      <c r="C8" s="600"/>
    </row>
    <row r="9" spans="1:18" ht="20.100000000000001" customHeight="1" x14ac:dyDescent="0.3">
      <c r="B9" s="597" t="s">
        <v>336</v>
      </c>
      <c r="C9" s="598"/>
    </row>
    <row r="10" spans="1:18" ht="20.100000000000001" customHeight="1" x14ac:dyDescent="0.3">
      <c r="B10" s="589" t="s">
        <v>360</v>
      </c>
      <c r="C10" s="590"/>
    </row>
    <row r="11" spans="1:18" ht="20.100000000000001" customHeight="1" x14ac:dyDescent="0.3">
      <c r="B11" s="589"/>
      <c r="C11" s="590"/>
    </row>
    <row r="12" spans="1:18" ht="20.100000000000001" customHeight="1" x14ac:dyDescent="0.3">
      <c r="B12" s="170" t="s">
        <v>293</v>
      </c>
      <c r="C12" s="171"/>
    </row>
    <row r="13" spans="1:18" ht="20.100000000000001" customHeight="1" x14ac:dyDescent="0.3">
      <c r="A13" s="172"/>
      <c r="B13" s="582" t="s">
        <v>292</v>
      </c>
      <c r="C13" s="583"/>
      <c r="D13" s="167"/>
      <c r="E13" s="167"/>
      <c r="F13" s="167"/>
      <c r="G13" s="167"/>
      <c r="H13" s="167"/>
      <c r="I13" s="167"/>
      <c r="J13" s="167"/>
      <c r="K13" s="167"/>
      <c r="L13" s="167"/>
      <c r="M13" s="167"/>
      <c r="N13" s="167"/>
      <c r="O13" s="167"/>
      <c r="P13" s="167"/>
      <c r="Q13" s="167"/>
      <c r="R13" s="167"/>
    </row>
    <row r="14" spans="1:18" ht="20.100000000000001" customHeight="1" x14ac:dyDescent="0.3">
      <c r="A14" s="173"/>
      <c r="B14" s="580" t="s">
        <v>379</v>
      </c>
      <c r="C14" s="581"/>
      <c r="D14" s="163"/>
      <c r="E14" s="601"/>
      <c r="F14" s="601"/>
      <c r="G14" s="163"/>
      <c r="H14" s="163"/>
      <c r="I14" s="163"/>
      <c r="J14" s="163"/>
      <c r="K14" s="163"/>
      <c r="L14" s="163"/>
      <c r="M14" s="163"/>
      <c r="N14" s="163"/>
      <c r="O14" s="163"/>
      <c r="P14" s="163"/>
      <c r="Q14" s="163"/>
      <c r="R14" s="163"/>
    </row>
    <row r="15" spans="1:18" ht="20.100000000000001" customHeight="1" x14ac:dyDescent="0.3">
      <c r="A15" s="173"/>
      <c r="B15" s="580" t="s">
        <v>380</v>
      </c>
      <c r="C15" s="581"/>
      <c r="D15" s="163"/>
      <c r="E15" s="601"/>
      <c r="F15" s="601"/>
      <c r="G15" s="163"/>
      <c r="H15" s="163"/>
      <c r="I15" s="163"/>
      <c r="J15" s="163"/>
      <c r="K15" s="163"/>
      <c r="L15" s="163"/>
      <c r="M15" s="163"/>
      <c r="N15" s="163"/>
      <c r="O15" s="163"/>
      <c r="P15" s="163"/>
      <c r="Q15" s="163"/>
      <c r="R15" s="163"/>
    </row>
    <row r="16" spans="1:18" ht="20.100000000000001" customHeight="1" x14ac:dyDescent="0.3">
      <c r="A16" s="173"/>
      <c r="B16" s="580" t="s">
        <v>381</v>
      </c>
      <c r="C16" s="581"/>
      <c r="D16" s="163"/>
      <c r="E16" s="601"/>
      <c r="F16" s="601"/>
      <c r="G16" s="167"/>
      <c r="H16" s="167"/>
      <c r="I16" s="167"/>
      <c r="J16" s="167"/>
      <c r="K16" s="167"/>
      <c r="L16" s="167"/>
      <c r="M16" s="167"/>
      <c r="N16" s="167"/>
      <c r="O16" s="167"/>
      <c r="P16" s="167"/>
      <c r="Q16" s="167"/>
      <c r="R16" s="167"/>
    </row>
    <row r="17" spans="1:18" ht="20.100000000000001" customHeight="1" x14ac:dyDescent="0.3">
      <c r="A17" s="173"/>
      <c r="B17" s="584" t="s">
        <v>805</v>
      </c>
      <c r="C17" s="584"/>
      <c r="D17" s="163"/>
      <c r="E17" s="601"/>
      <c r="F17" s="601"/>
      <c r="G17" s="167"/>
      <c r="H17" s="167"/>
      <c r="I17" s="167"/>
      <c r="J17" s="167"/>
      <c r="K17" s="167"/>
      <c r="L17" s="167"/>
      <c r="M17" s="167"/>
      <c r="N17" s="167"/>
      <c r="O17" s="167"/>
      <c r="P17" s="167"/>
      <c r="Q17" s="167"/>
      <c r="R17" s="167"/>
    </row>
    <row r="18" spans="1:18" ht="20.100000000000001" customHeight="1" x14ac:dyDescent="0.3">
      <c r="A18" s="173"/>
      <c r="B18" s="584" t="s">
        <v>382</v>
      </c>
      <c r="C18" s="584"/>
      <c r="D18" s="163"/>
      <c r="E18" s="601"/>
      <c r="F18" s="601"/>
      <c r="G18" s="167"/>
      <c r="H18" s="167"/>
      <c r="I18" s="167"/>
      <c r="J18" s="167"/>
      <c r="K18" s="167"/>
      <c r="L18" s="167"/>
      <c r="M18" s="167"/>
      <c r="N18" s="167"/>
      <c r="O18" s="167"/>
      <c r="P18" s="167"/>
      <c r="Q18" s="167"/>
      <c r="R18" s="167"/>
    </row>
    <row r="19" spans="1:18" ht="20.100000000000001" customHeight="1" x14ac:dyDescent="0.3">
      <c r="D19" s="163" t="str">
        <f t="shared" ref="D19" si="0">CONCATENATE(A19,B19)</f>
        <v/>
      </c>
    </row>
    <row r="20" spans="1:18" ht="20.100000000000001" customHeight="1" x14ac:dyDescent="0.3">
      <c r="B20" s="578"/>
      <c r="C20" s="579"/>
      <c r="D20" s="579"/>
      <c r="E20" s="579"/>
      <c r="F20" s="579"/>
      <c r="G20" s="579"/>
      <c r="H20" s="579"/>
      <c r="I20" s="579"/>
    </row>
    <row r="21" spans="1:18" ht="20.100000000000001" customHeight="1" x14ac:dyDescent="0.3">
      <c r="B21" s="578"/>
      <c r="C21" s="579"/>
      <c r="D21" s="579"/>
      <c r="E21" s="579"/>
      <c r="F21" s="579"/>
      <c r="G21" s="579"/>
      <c r="H21" s="579"/>
      <c r="I21" s="579"/>
    </row>
    <row r="22" spans="1:18" ht="20.100000000000001" customHeight="1" x14ac:dyDescent="0.3">
      <c r="B22" s="578"/>
      <c r="C22" s="579"/>
      <c r="D22" s="579"/>
      <c r="E22" s="579"/>
      <c r="F22" s="579"/>
      <c r="G22" s="579"/>
      <c r="H22" s="579"/>
      <c r="I22" s="579"/>
      <c r="J22" s="80"/>
      <c r="K22" s="80"/>
      <c r="L22" s="80"/>
      <c r="M22" s="80"/>
      <c r="N22" s="80"/>
    </row>
    <row r="23" spans="1:18" ht="20.100000000000001" customHeight="1" x14ac:dyDescent="0.3">
      <c r="B23" s="578"/>
      <c r="C23" s="579"/>
      <c r="D23" s="579"/>
      <c r="E23" s="579"/>
      <c r="F23" s="579"/>
      <c r="G23" s="579"/>
      <c r="H23" s="579"/>
      <c r="I23" s="579"/>
    </row>
    <row r="24" spans="1:18" ht="20.100000000000001" customHeight="1" x14ac:dyDescent="0.3">
      <c r="B24" s="578"/>
      <c r="C24" s="579"/>
      <c r="D24" s="579"/>
      <c r="E24" s="579"/>
      <c r="F24" s="579"/>
      <c r="G24" s="579"/>
      <c r="H24" s="579"/>
      <c r="I24" s="579"/>
    </row>
  </sheetData>
  <mergeCells count="27">
    <mergeCell ref="E14:F14"/>
    <mergeCell ref="E15:F15"/>
    <mergeCell ref="E16:F16"/>
    <mergeCell ref="E17:F17"/>
    <mergeCell ref="E18:F18"/>
    <mergeCell ref="B1:C1"/>
    <mergeCell ref="B2:C2"/>
    <mergeCell ref="B3:C3"/>
    <mergeCell ref="B11:C11"/>
    <mergeCell ref="B5:C5"/>
    <mergeCell ref="B6:C6"/>
    <mergeCell ref="B7:C7"/>
    <mergeCell ref="B9:C9"/>
    <mergeCell ref="B10:C10"/>
    <mergeCell ref="B4:C4"/>
    <mergeCell ref="B8:C8"/>
    <mergeCell ref="B15:C15"/>
    <mergeCell ref="B13:C13"/>
    <mergeCell ref="B16:C16"/>
    <mergeCell ref="B17:C17"/>
    <mergeCell ref="B18:C18"/>
    <mergeCell ref="B14:C14"/>
    <mergeCell ref="B20:I20"/>
    <mergeCell ref="B21:I21"/>
    <mergeCell ref="B22:I22"/>
    <mergeCell ref="B23:I23"/>
    <mergeCell ref="B24:I24"/>
  </mergeCells>
  <pageMargins left="0.7" right="0.7" top="0.75" bottom="0.75" header="0.3" footer="0.3"/>
  <pageSetup paperSize="9" scale="71"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110"/>
  <sheetViews>
    <sheetView zoomScaleNormal="100" workbookViewId="0">
      <selection activeCell="R92" sqref="R92"/>
    </sheetView>
  </sheetViews>
  <sheetFormatPr defaultColWidth="9.109375" defaultRowHeight="15.6" x14ac:dyDescent="0.3"/>
  <cols>
    <col min="1" max="1" width="9.109375" style="79"/>
    <col min="2" max="2" width="11" style="79" customWidth="1"/>
    <col min="3" max="3" width="4.88671875" style="79" customWidth="1"/>
    <col min="4" max="13" width="9.109375" style="79"/>
    <col min="14" max="14" width="12.109375" style="79" customWidth="1"/>
    <col min="15" max="15" width="10.44140625" style="79" customWidth="1"/>
    <col min="16" max="16" width="9.109375" style="79" customWidth="1"/>
    <col min="17" max="17" width="9.5546875" style="79" bestFit="1" customWidth="1"/>
    <col min="18" max="18" width="9.6640625" style="79" bestFit="1" customWidth="1"/>
    <col min="19" max="19" width="9.109375" style="79"/>
    <col min="20" max="20" width="11.44140625" style="79" customWidth="1"/>
    <col min="21" max="21" width="9.33203125" style="79" customWidth="1"/>
    <col min="22" max="22" width="6.33203125" style="79" customWidth="1"/>
    <col min="23" max="23" width="9.109375" style="79"/>
    <col min="24" max="24" width="9.5546875" style="79" bestFit="1" customWidth="1"/>
    <col min="25" max="25" width="12.44140625" style="79" customWidth="1"/>
    <col min="26" max="26" width="9.109375" style="79"/>
    <col min="27" max="27" width="13.109375" style="79" customWidth="1"/>
    <col min="28" max="28" width="9.109375" style="79"/>
    <col min="29" max="29" width="12.5546875" style="79" customWidth="1"/>
    <col min="30" max="16384" width="9.109375" style="79"/>
  </cols>
  <sheetData>
    <row r="1" spans="2:27" x14ac:dyDescent="0.3">
      <c r="B1" s="609"/>
      <c r="C1" s="610"/>
      <c r="D1" s="610"/>
      <c r="E1" s="610"/>
      <c r="F1" s="610"/>
      <c r="G1" s="610"/>
      <c r="H1" s="610"/>
      <c r="I1" s="610"/>
      <c r="J1" s="610"/>
      <c r="K1" s="610"/>
      <c r="L1" s="610"/>
      <c r="M1" s="610"/>
      <c r="N1" s="611"/>
      <c r="T1" s="602"/>
      <c r="U1" s="602"/>
      <c r="V1" s="425"/>
      <c r="W1" s="261"/>
      <c r="X1" s="602"/>
      <c r="Y1" s="602"/>
      <c r="Z1" s="602"/>
      <c r="AA1" s="602"/>
    </row>
    <row r="2" spans="2:27" x14ac:dyDescent="0.3">
      <c r="B2" s="178"/>
      <c r="E2" s="556"/>
      <c r="F2" s="556"/>
      <c r="G2" s="556"/>
      <c r="H2" s="556"/>
      <c r="I2" s="556"/>
      <c r="J2" s="556"/>
      <c r="K2" s="556"/>
      <c r="L2" s="80"/>
      <c r="N2" s="179"/>
      <c r="P2" s="368"/>
      <c r="Q2" s="369"/>
      <c r="R2" s="369"/>
      <c r="S2" s="369"/>
      <c r="T2" s="369"/>
      <c r="U2" s="369"/>
      <c r="V2" s="369"/>
      <c r="W2" s="369"/>
      <c r="X2" s="370"/>
      <c r="Y2" s="370"/>
      <c r="Z2" s="370"/>
      <c r="AA2" s="266"/>
    </row>
    <row r="3" spans="2:27" x14ac:dyDescent="0.3">
      <c r="B3" s="178"/>
      <c r="D3" s="65"/>
      <c r="E3" s="80"/>
      <c r="F3" s="80"/>
      <c r="G3" s="80"/>
      <c r="H3" s="80"/>
      <c r="I3" s="80"/>
      <c r="J3" s="80"/>
      <c r="K3" s="80"/>
      <c r="L3" s="80"/>
      <c r="N3" s="179"/>
      <c r="P3" s="368"/>
      <c r="Q3" s="369"/>
      <c r="R3" s="369"/>
      <c r="S3" s="369"/>
      <c r="T3" s="369"/>
      <c r="U3" s="369"/>
      <c r="V3" s="369"/>
      <c r="W3" s="369"/>
      <c r="X3" s="370"/>
      <c r="Y3" s="370"/>
      <c r="Z3" s="370"/>
      <c r="AA3" s="166"/>
    </row>
    <row r="4" spans="2:27" ht="16.5" customHeight="1" thickBot="1" x14ac:dyDescent="0.35">
      <c r="B4" s="612" t="s">
        <v>373</v>
      </c>
      <c r="C4" s="613"/>
      <c r="D4" s="613"/>
      <c r="E4" s="613"/>
      <c r="F4" s="613"/>
      <c r="G4" s="613"/>
      <c r="H4" s="613"/>
      <c r="I4" s="613"/>
      <c r="J4" s="613"/>
      <c r="K4" s="613"/>
      <c r="L4" s="613"/>
      <c r="M4" s="613"/>
      <c r="N4" s="614"/>
      <c r="P4" s="368"/>
      <c r="Q4" s="369"/>
      <c r="R4" s="369"/>
      <c r="S4" s="369"/>
      <c r="T4" s="369"/>
      <c r="U4" s="369"/>
      <c r="V4" s="369"/>
      <c r="W4" s="369"/>
      <c r="X4" s="370"/>
      <c r="Y4" s="370"/>
      <c r="Z4" s="370"/>
      <c r="AA4" s="166"/>
    </row>
    <row r="5" spans="2:27" x14ac:dyDescent="0.3">
      <c r="B5" s="358"/>
      <c r="C5" s="358"/>
      <c r="D5" s="358"/>
      <c r="E5" s="358"/>
      <c r="F5" s="358"/>
      <c r="G5" s="358"/>
      <c r="H5" s="358"/>
      <c r="I5" s="358"/>
      <c r="J5" s="358"/>
      <c r="K5" s="358"/>
      <c r="L5" s="358"/>
      <c r="M5" s="358"/>
      <c r="N5" s="358"/>
      <c r="P5" s="368"/>
      <c r="Q5" s="369"/>
      <c r="R5" s="369"/>
      <c r="S5" s="369"/>
      <c r="T5" s="369"/>
      <c r="U5" s="369"/>
      <c r="V5" s="369"/>
      <c r="W5" s="369"/>
      <c r="X5" s="370"/>
      <c r="Y5" s="370"/>
      <c r="Z5" s="370"/>
      <c r="AA5" s="166"/>
    </row>
    <row r="6" spans="2:27" x14ac:dyDescent="0.3">
      <c r="P6" s="368"/>
      <c r="Q6" s="369"/>
      <c r="R6" s="369"/>
      <c r="S6" s="369"/>
      <c r="T6" s="369"/>
      <c r="U6" s="369"/>
      <c r="V6" s="369"/>
      <c r="W6" s="369"/>
      <c r="X6" s="370"/>
      <c r="Y6" s="370"/>
      <c r="Z6" s="370"/>
      <c r="AA6" s="166"/>
    </row>
    <row r="7" spans="2:27" x14ac:dyDescent="0.3">
      <c r="X7" s="359"/>
    </row>
    <row r="8" spans="2:27" x14ac:dyDescent="0.3">
      <c r="E8" s="556" t="s">
        <v>305</v>
      </c>
      <c r="F8" s="606"/>
      <c r="G8" s="606"/>
      <c r="H8" s="606"/>
      <c r="I8" s="606"/>
      <c r="J8" s="58"/>
      <c r="K8" s="58"/>
      <c r="L8" s="58"/>
      <c r="X8" s="359"/>
    </row>
    <row r="9" spans="2:27" ht="16.2" thickBot="1" x14ac:dyDescent="0.35">
      <c r="X9" s="359"/>
    </row>
    <row r="10" spans="2:27" x14ac:dyDescent="0.3">
      <c r="B10" s="353" t="s">
        <v>0</v>
      </c>
      <c r="C10" s="354" t="s">
        <v>7</v>
      </c>
      <c r="D10" s="354">
        <v>1</v>
      </c>
      <c r="E10" s="354">
        <v>2</v>
      </c>
      <c r="F10" s="354">
        <v>3</v>
      </c>
      <c r="G10" s="354">
        <v>4</v>
      </c>
      <c r="H10" s="354">
        <v>5</v>
      </c>
      <c r="I10" s="354">
        <v>6</v>
      </c>
      <c r="J10" s="354">
        <v>7</v>
      </c>
      <c r="K10" s="354" t="s">
        <v>47</v>
      </c>
      <c r="L10" s="355" t="s">
        <v>48</v>
      </c>
      <c r="T10" s="608" t="s">
        <v>330</v>
      </c>
      <c r="U10" s="608"/>
      <c r="V10" s="608"/>
      <c r="W10" s="367"/>
      <c r="X10" s="607" t="s">
        <v>324</v>
      </c>
      <c r="Y10" s="607"/>
      <c r="Z10" s="607" t="s">
        <v>325</v>
      </c>
      <c r="AA10" s="607"/>
    </row>
    <row r="11" spans="2:27" x14ac:dyDescent="0.3">
      <c r="B11" s="183">
        <v>22224.1</v>
      </c>
      <c r="C11" s="209"/>
      <c r="D11" s="361" t="s">
        <v>350</v>
      </c>
      <c r="E11" s="361" t="s">
        <v>350</v>
      </c>
      <c r="F11" s="361" t="s">
        <v>350</v>
      </c>
      <c r="G11" s="361" t="s">
        <v>350</v>
      </c>
      <c r="H11" s="209"/>
      <c r="I11" s="361" t="s">
        <v>350</v>
      </c>
      <c r="J11" s="361" t="s">
        <v>350</v>
      </c>
      <c r="K11" s="361" t="s">
        <v>350</v>
      </c>
      <c r="L11" s="361"/>
      <c r="M11" s="360"/>
      <c r="T11" s="621" t="s">
        <v>306</v>
      </c>
      <c r="U11" s="621"/>
      <c r="V11" s="621"/>
      <c r="W11" s="82"/>
      <c r="X11" s="423">
        <v>0</v>
      </c>
      <c r="Y11" s="423" t="s">
        <v>326</v>
      </c>
      <c r="Z11" s="423">
        <v>0</v>
      </c>
      <c r="AA11" s="423" t="s">
        <v>326</v>
      </c>
    </row>
    <row r="12" spans="2:27" x14ac:dyDescent="0.3">
      <c r="B12" s="183">
        <v>22224.2</v>
      </c>
      <c r="C12" s="209"/>
      <c r="D12" s="361" t="s">
        <v>350</v>
      </c>
      <c r="E12" s="361" t="s">
        <v>350</v>
      </c>
      <c r="F12" s="242"/>
      <c r="G12" s="211"/>
      <c r="H12" s="361" t="s">
        <v>350</v>
      </c>
      <c r="I12" s="361"/>
      <c r="J12" s="361" t="s">
        <v>350</v>
      </c>
      <c r="K12" s="361" t="s">
        <v>350</v>
      </c>
      <c r="L12" s="361"/>
      <c r="T12" s="621" t="s">
        <v>307</v>
      </c>
      <c r="U12" s="621"/>
      <c r="V12" s="621"/>
      <c r="W12" s="82"/>
      <c r="X12" s="365" t="s">
        <v>327</v>
      </c>
      <c r="Y12" s="423">
        <v>1</v>
      </c>
      <c r="Z12" s="423">
        <v>1</v>
      </c>
      <c r="AA12" s="423">
        <v>1</v>
      </c>
    </row>
    <row r="13" spans="2:27" x14ac:dyDescent="0.3">
      <c r="B13" s="183">
        <v>22224.3</v>
      </c>
      <c r="C13" s="209"/>
      <c r="D13" s="361" t="s">
        <v>350</v>
      </c>
      <c r="E13" s="361" t="s">
        <v>350</v>
      </c>
      <c r="F13" s="242"/>
      <c r="G13" s="242"/>
      <c r="H13" s="361" t="s">
        <v>350</v>
      </c>
      <c r="J13" s="361" t="s">
        <v>350</v>
      </c>
      <c r="K13" s="361" t="s">
        <v>350</v>
      </c>
      <c r="L13" s="361"/>
      <c r="T13" s="362" t="s">
        <v>314</v>
      </c>
      <c r="U13" s="362"/>
      <c r="V13" s="362"/>
      <c r="W13" s="82"/>
      <c r="X13" s="366">
        <v>3</v>
      </c>
      <c r="Y13" s="423">
        <v>2</v>
      </c>
      <c r="Z13" s="423">
        <v>2</v>
      </c>
      <c r="AA13" s="423">
        <v>2</v>
      </c>
    </row>
    <row r="14" spans="2:27" x14ac:dyDescent="0.3">
      <c r="B14" s="183">
        <v>22224.400000000001</v>
      </c>
      <c r="C14" s="209"/>
      <c r="D14" s="361" t="s">
        <v>350</v>
      </c>
      <c r="E14" s="361" t="s">
        <v>350</v>
      </c>
      <c r="F14" s="361" t="s">
        <v>350</v>
      </c>
      <c r="G14" s="361" t="s">
        <v>350</v>
      </c>
      <c r="H14" s="361" t="s">
        <v>350</v>
      </c>
      <c r="I14" s="361" t="s">
        <v>350</v>
      </c>
      <c r="J14" s="361" t="s">
        <v>350</v>
      </c>
      <c r="K14" s="361" t="s">
        <v>350</v>
      </c>
      <c r="L14" s="361"/>
      <c r="T14" s="621" t="s">
        <v>308</v>
      </c>
      <c r="U14" s="621"/>
      <c r="V14" s="621"/>
      <c r="W14" s="82"/>
      <c r="X14" s="366" t="s">
        <v>328</v>
      </c>
      <c r="Y14" s="423">
        <v>3</v>
      </c>
      <c r="Z14" s="423" t="s">
        <v>329</v>
      </c>
      <c r="AA14" s="423">
        <v>3</v>
      </c>
    </row>
    <row r="15" spans="2:27" x14ac:dyDescent="0.3">
      <c r="B15" s="183">
        <v>22224.5</v>
      </c>
      <c r="C15" s="209"/>
      <c r="D15" s="361" t="s">
        <v>350</v>
      </c>
      <c r="E15" s="361" t="s">
        <v>350</v>
      </c>
      <c r="F15" s="361" t="s">
        <v>350</v>
      </c>
      <c r="G15" s="361" t="s">
        <v>350</v>
      </c>
      <c r="H15" s="361" t="s">
        <v>350</v>
      </c>
      <c r="I15" s="361" t="s">
        <v>350</v>
      </c>
      <c r="J15" s="361" t="s">
        <v>350</v>
      </c>
      <c r="K15" s="361" t="s">
        <v>350</v>
      </c>
      <c r="L15" s="361"/>
      <c r="T15" s="633"/>
      <c r="U15" s="633"/>
      <c r="V15" s="633"/>
      <c r="W15" s="82"/>
      <c r="X15" s="364"/>
      <c r="Y15" s="199"/>
      <c r="Z15" s="199"/>
      <c r="AA15" s="199"/>
    </row>
    <row r="16" spans="2:27" x14ac:dyDescent="0.3">
      <c r="X16" s="359"/>
    </row>
    <row r="17" spans="1:35" x14ac:dyDescent="0.3">
      <c r="T17" s="80" t="s">
        <v>344</v>
      </c>
      <c r="U17" s="80"/>
      <c r="V17" s="80"/>
      <c r="W17" s="80"/>
      <c r="X17" s="363"/>
      <c r="Z17" s="80" t="s">
        <v>338</v>
      </c>
      <c r="AA17" s="80"/>
      <c r="AB17" s="80"/>
      <c r="AC17" s="80"/>
    </row>
    <row r="18" spans="1:35" x14ac:dyDescent="0.3">
      <c r="A18" s="228" t="s">
        <v>294</v>
      </c>
      <c r="B18" s="229" t="s">
        <v>295</v>
      </c>
      <c r="C18" s="181"/>
      <c r="D18" s="181"/>
      <c r="E18" s="181"/>
      <c r="F18" s="181"/>
      <c r="G18" s="181"/>
      <c r="H18" s="181"/>
      <c r="I18" s="181"/>
      <c r="J18" s="215"/>
      <c r="K18" s="215"/>
      <c r="L18" s="215"/>
      <c r="M18" s="215"/>
      <c r="N18" s="215"/>
      <c r="O18" s="215"/>
      <c r="P18" s="215"/>
      <c r="Q18" s="216"/>
      <c r="T18" s="80"/>
      <c r="U18" s="80"/>
      <c r="V18" s="80"/>
      <c r="W18" s="80"/>
      <c r="X18" s="80"/>
      <c r="Y18" s="80"/>
      <c r="Z18" s="80"/>
      <c r="AA18" s="80"/>
      <c r="AB18" s="80"/>
      <c r="AC18" s="80"/>
      <c r="AD18" s="80"/>
    </row>
    <row r="19" spans="1:35" x14ac:dyDescent="0.3">
      <c r="J19" s="218"/>
      <c r="K19" s="449"/>
      <c r="L19" s="219"/>
      <c r="M19" s="449"/>
      <c r="N19" s="219"/>
      <c r="O19" s="449"/>
      <c r="P19" s="220"/>
      <c r="Q19" s="221"/>
      <c r="S19" s="80" t="s">
        <v>339</v>
      </c>
      <c r="U19" s="80" t="s">
        <v>296</v>
      </c>
      <c r="X19" s="80"/>
      <c r="AA19" s="80" t="s">
        <v>340</v>
      </c>
    </row>
    <row r="20" spans="1:35" ht="96.6" x14ac:dyDescent="0.3">
      <c r="A20" s="87" t="s">
        <v>103</v>
      </c>
      <c r="B20" s="87" t="s">
        <v>0</v>
      </c>
      <c r="C20" s="615" t="s">
        <v>297</v>
      </c>
      <c r="D20" s="616"/>
      <c r="E20" s="616"/>
      <c r="F20" s="616"/>
      <c r="G20" s="616"/>
      <c r="H20" s="617"/>
      <c r="I20" s="87"/>
      <c r="J20" s="217"/>
      <c r="K20" s="224" t="s">
        <v>298</v>
      </c>
      <c r="L20" s="205" t="s">
        <v>54</v>
      </c>
      <c r="M20" s="224" t="s">
        <v>97</v>
      </c>
      <c r="N20" s="205" t="s">
        <v>54</v>
      </c>
      <c r="O20" s="224" t="s">
        <v>299</v>
      </c>
      <c r="P20" s="205" t="s">
        <v>54</v>
      </c>
      <c r="Q20" s="231" t="s">
        <v>35</v>
      </c>
      <c r="R20" s="222"/>
      <c r="S20" s="227"/>
      <c r="Z20" s="194"/>
      <c r="AA20" s="194"/>
    </row>
    <row r="21" spans="1:35" ht="15.75" customHeight="1" x14ac:dyDescent="0.3">
      <c r="A21" s="182" t="s">
        <v>300</v>
      </c>
      <c r="B21" s="183">
        <v>22224.1</v>
      </c>
      <c r="C21" s="618" t="s">
        <v>386</v>
      </c>
      <c r="D21" s="619"/>
      <c r="E21" s="619"/>
      <c r="F21" s="619"/>
      <c r="G21" s="619"/>
      <c r="H21" s="619"/>
      <c r="I21" s="619"/>
      <c r="J21" s="620"/>
      <c r="K21" s="372">
        <v>0.3125</v>
      </c>
      <c r="L21" s="373">
        <v>3</v>
      </c>
      <c r="M21" s="374">
        <v>3</v>
      </c>
      <c r="N21" s="373">
        <v>2</v>
      </c>
      <c r="O21" s="375">
        <v>1</v>
      </c>
      <c r="P21" s="376">
        <v>1</v>
      </c>
      <c r="Q21" s="164">
        <f>AVERAGE(L21,N21,P21)</f>
        <v>2</v>
      </c>
      <c r="S21" s="603" t="s">
        <v>374</v>
      </c>
      <c r="T21" s="604"/>
      <c r="U21" s="604"/>
      <c r="V21" s="604"/>
      <c r="W21" s="604"/>
      <c r="X21" s="604"/>
      <c r="Y21" s="604"/>
      <c r="Z21" s="604"/>
      <c r="AA21" s="604"/>
      <c r="AB21" s="604"/>
      <c r="AC21" s="605"/>
      <c r="AD21" s="424"/>
      <c r="AE21" s="424"/>
      <c r="AF21" s="424"/>
      <c r="AG21" s="424"/>
      <c r="AH21" s="424"/>
      <c r="AI21" s="424"/>
    </row>
    <row r="22" spans="1:35" x14ac:dyDescent="0.3">
      <c r="A22" s="182" t="s">
        <v>300</v>
      </c>
      <c r="B22" s="183">
        <v>22224.2</v>
      </c>
      <c r="C22" s="626" t="s">
        <v>387</v>
      </c>
      <c r="D22" s="627"/>
      <c r="E22" s="627"/>
      <c r="F22" s="627"/>
      <c r="G22" s="627"/>
      <c r="H22" s="627"/>
      <c r="I22" s="627"/>
      <c r="J22" s="628"/>
      <c r="K22" s="372">
        <v>0.20830000000000001</v>
      </c>
      <c r="L22" s="373">
        <v>2</v>
      </c>
      <c r="M22" s="374">
        <v>3</v>
      </c>
      <c r="N22" s="373">
        <v>2</v>
      </c>
      <c r="O22" s="375">
        <v>1</v>
      </c>
      <c r="P22" s="376">
        <v>1</v>
      </c>
      <c r="Q22" s="451">
        <f t="shared" ref="Q22:Q25" si="0">AVERAGE(L22,N22,P22)</f>
        <v>1.6666666666666667</v>
      </c>
      <c r="S22" s="622" t="s">
        <v>383</v>
      </c>
      <c r="T22" s="623"/>
      <c r="U22" s="623"/>
      <c r="V22" s="623"/>
      <c r="W22" s="623"/>
      <c r="X22" s="623"/>
      <c r="Y22" s="623"/>
      <c r="Z22" s="623"/>
      <c r="AA22" s="623"/>
      <c r="AB22" s="623"/>
      <c r="AC22" s="623"/>
      <c r="AD22" s="624"/>
      <c r="AE22" s="625"/>
      <c r="AF22" s="625"/>
      <c r="AG22" s="625"/>
      <c r="AH22" s="625"/>
      <c r="AI22" s="625"/>
    </row>
    <row r="23" spans="1:35" x14ac:dyDescent="0.3">
      <c r="A23" s="182" t="s">
        <v>300</v>
      </c>
      <c r="B23" s="183">
        <v>22224.3</v>
      </c>
      <c r="C23" s="626" t="s">
        <v>388</v>
      </c>
      <c r="D23" s="627"/>
      <c r="E23" s="627"/>
      <c r="F23" s="627"/>
      <c r="G23" s="627"/>
      <c r="H23" s="627"/>
      <c r="I23" s="627"/>
      <c r="J23" s="628"/>
      <c r="K23" s="372">
        <v>0.14580000000000001</v>
      </c>
      <c r="L23" s="373">
        <v>1</v>
      </c>
      <c r="M23" s="374">
        <v>3</v>
      </c>
      <c r="N23" s="373">
        <v>2</v>
      </c>
      <c r="O23" s="375">
        <v>1</v>
      </c>
      <c r="P23" s="376">
        <v>1</v>
      </c>
      <c r="Q23" s="451">
        <f t="shared" si="0"/>
        <v>1.3333333333333333</v>
      </c>
      <c r="S23" s="622" t="s">
        <v>384</v>
      </c>
      <c r="T23" s="623"/>
      <c r="U23" s="623"/>
      <c r="V23" s="623"/>
      <c r="W23" s="623"/>
      <c r="X23" s="623"/>
      <c r="Y23" s="623"/>
      <c r="Z23" s="623"/>
      <c r="AA23" s="623"/>
      <c r="AB23" s="623"/>
      <c r="AC23" s="623"/>
      <c r="AD23" s="624"/>
      <c r="AE23" s="625"/>
      <c r="AF23" s="625"/>
      <c r="AG23" s="625"/>
      <c r="AH23" s="625"/>
      <c r="AI23" s="625"/>
    </row>
    <row r="24" spans="1:35" x14ac:dyDescent="0.3">
      <c r="A24" s="182" t="s">
        <v>300</v>
      </c>
      <c r="B24" s="183">
        <v>22224.400000000001</v>
      </c>
      <c r="C24" s="626" t="s">
        <v>389</v>
      </c>
      <c r="D24" s="627"/>
      <c r="E24" s="627"/>
      <c r="F24" s="627"/>
      <c r="G24" s="627"/>
      <c r="H24" s="627"/>
      <c r="I24" s="627"/>
      <c r="J24" s="628"/>
      <c r="K24" s="372">
        <v>0.14580000000000001</v>
      </c>
      <c r="L24" s="373">
        <v>1</v>
      </c>
      <c r="M24" s="374">
        <v>3</v>
      </c>
      <c r="N24" s="373">
        <v>2</v>
      </c>
      <c r="O24" s="375">
        <v>1</v>
      </c>
      <c r="P24" s="376">
        <v>1</v>
      </c>
      <c r="Q24" s="451">
        <f t="shared" si="0"/>
        <v>1.3333333333333333</v>
      </c>
      <c r="S24" s="622" t="s">
        <v>375</v>
      </c>
      <c r="T24" s="623"/>
      <c r="U24" s="623"/>
      <c r="V24" s="623"/>
      <c r="W24" s="623"/>
      <c r="X24" s="623"/>
      <c r="Y24" s="623"/>
      <c r="Z24" s="623"/>
      <c r="AA24" s="623"/>
      <c r="AB24" s="623"/>
      <c r="AC24" s="623"/>
      <c r="AD24" s="624"/>
      <c r="AE24" s="625"/>
      <c r="AF24" s="625"/>
      <c r="AG24" s="625"/>
      <c r="AH24" s="625"/>
      <c r="AI24" s="625"/>
    </row>
    <row r="25" spans="1:35" x14ac:dyDescent="0.3">
      <c r="A25" s="182" t="s">
        <v>300</v>
      </c>
      <c r="B25" s="183">
        <v>22224.5</v>
      </c>
      <c r="C25" s="629" t="s">
        <v>390</v>
      </c>
      <c r="D25" s="630"/>
      <c r="E25" s="630"/>
      <c r="F25" s="630"/>
      <c r="G25" s="630"/>
      <c r="H25" s="630"/>
      <c r="I25" s="630"/>
      <c r="J25" s="631"/>
      <c r="K25" s="372">
        <v>0.1875</v>
      </c>
      <c r="L25" s="373">
        <v>2</v>
      </c>
      <c r="M25" s="374">
        <v>3</v>
      </c>
      <c r="N25" s="373">
        <v>2</v>
      </c>
      <c r="O25" s="375">
        <v>1</v>
      </c>
      <c r="P25" s="376">
        <v>1</v>
      </c>
      <c r="Q25" s="451">
        <f t="shared" si="0"/>
        <v>1.6666666666666667</v>
      </c>
      <c r="S25" s="622" t="s">
        <v>385</v>
      </c>
      <c r="T25" s="623"/>
      <c r="U25" s="623"/>
      <c r="V25" s="623"/>
      <c r="W25" s="623"/>
      <c r="X25" s="623"/>
      <c r="Y25" s="623"/>
      <c r="Z25" s="623"/>
      <c r="AA25" s="623"/>
      <c r="AB25" s="623"/>
      <c r="AC25" s="623"/>
      <c r="AD25" s="624"/>
      <c r="AE25" s="625"/>
      <c r="AF25" s="625"/>
      <c r="AG25" s="625"/>
      <c r="AH25" s="625"/>
      <c r="AI25" s="625"/>
    </row>
    <row r="26" spans="1:35" x14ac:dyDescent="0.3">
      <c r="A26" s="186"/>
      <c r="B26" s="187"/>
      <c r="C26" s="188"/>
      <c r="D26" s="188"/>
      <c r="E26" s="188"/>
      <c r="F26" s="188"/>
      <c r="G26" s="188"/>
      <c r="H26" s="188"/>
      <c r="I26" s="188"/>
      <c r="J26" s="188"/>
      <c r="K26" s="189"/>
      <c r="L26" s="190"/>
      <c r="M26" s="191"/>
      <c r="N26" s="190"/>
      <c r="O26" s="192"/>
      <c r="P26" s="450"/>
      <c r="Q26" s="193"/>
      <c r="S26" s="424"/>
      <c r="T26" s="424"/>
      <c r="U26" s="424"/>
      <c r="V26" s="424"/>
      <c r="W26" s="424"/>
      <c r="X26" s="424"/>
      <c r="Y26" s="424"/>
      <c r="Z26" s="424"/>
      <c r="AA26" s="424"/>
      <c r="AB26" s="424"/>
      <c r="AC26" s="424"/>
      <c r="AD26" s="424"/>
      <c r="AE26" s="424"/>
      <c r="AF26" s="424"/>
      <c r="AG26" s="424"/>
      <c r="AH26" s="424"/>
      <c r="AI26" s="424"/>
    </row>
    <row r="27" spans="1:35" x14ac:dyDescent="0.3">
      <c r="A27" s="228" t="s">
        <v>301</v>
      </c>
      <c r="B27" s="229" t="s">
        <v>302</v>
      </c>
      <c r="C27" s="181"/>
      <c r="D27" s="181"/>
      <c r="E27" s="181"/>
      <c r="F27" s="181"/>
      <c r="G27" s="181"/>
      <c r="H27" s="181"/>
      <c r="I27" s="181"/>
      <c r="J27" s="215"/>
      <c r="K27" s="215"/>
      <c r="L27" s="215"/>
      <c r="M27" s="215"/>
      <c r="N27" s="215"/>
      <c r="O27" s="215"/>
      <c r="P27" s="215"/>
      <c r="Q27" s="216"/>
    </row>
    <row r="28" spans="1:35" x14ac:dyDescent="0.3">
      <c r="J28" s="218"/>
      <c r="K28" s="449"/>
      <c r="L28" s="219"/>
      <c r="M28" s="449"/>
      <c r="N28" s="219"/>
      <c r="O28" s="449"/>
      <c r="P28" s="220"/>
      <c r="Q28" s="221"/>
      <c r="S28" s="166"/>
      <c r="T28" s="166"/>
      <c r="U28" s="166"/>
      <c r="V28" s="166"/>
      <c r="W28" s="166"/>
      <c r="X28" s="166"/>
      <c r="Y28" s="166"/>
      <c r="Z28" s="166"/>
      <c r="AA28" s="166"/>
      <c r="AB28" s="166"/>
      <c r="AC28" s="166"/>
      <c r="AD28" s="166"/>
      <c r="AE28" s="166"/>
      <c r="AF28" s="166"/>
      <c r="AG28" s="166"/>
      <c r="AH28" s="166"/>
      <c r="AI28" s="166"/>
    </row>
    <row r="29" spans="1:35" ht="96.6" x14ac:dyDescent="0.3">
      <c r="A29" s="87" t="s">
        <v>103</v>
      </c>
      <c r="B29" s="87" t="s">
        <v>0</v>
      </c>
      <c r="C29" s="615" t="s">
        <v>297</v>
      </c>
      <c r="D29" s="616"/>
      <c r="E29" s="616"/>
      <c r="F29" s="616"/>
      <c r="G29" s="616"/>
      <c r="H29" s="617"/>
      <c r="I29" s="87"/>
      <c r="J29" s="217"/>
      <c r="K29" s="224" t="s">
        <v>298</v>
      </c>
      <c r="L29" s="205" t="s">
        <v>54</v>
      </c>
      <c r="M29" s="224" t="s">
        <v>97</v>
      </c>
      <c r="N29" s="205" t="s">
        <v>54</v>
      </c>
      <c r="O29" s="224" t="s">
        <v>299</v>
      </c>
      <c r="P29" s="205" t="s">
        <v>54</v>
      </c>
      <c r="Q29" s="231" t="s">
        <v>36</v>
      </c>
      <c r="R29" s="222"/>
      <c r="S29" s="223"/>
      <c r="T29" s="166"/>
      <c r="U29" s="166"/>
      <c r="V29" s="166"/>
      <c r="W29" s="166"/>
      <c r="X29" s="166"/>
      <c r="Y29" s="166"/>
      <c r="Z29" s="166"/>
      <c r="AA29" s="166"/>
      <c r="AB29" s="166"/>
      <c r="AC29" s="166"/>
      <c r="AD29" s="166"/>
      <c r="AE29" s="166"/>
      <c r="AF29" s="166"/>
      <c r="AG29" s="166"/>
      <c r="AH29" s="166"/>
      <c r="AI29" s="166"/>
    </row>
    <row r="30" spans="1:35" ht="15.75" customHeight="1" x14ac:dyDescent="0.3">
      <c r="A30" s="182" t="s">
        <v>300</v>
      </c>
      <c r="B30" s="183">
        <v>22224.1</v>
      </c>
      <c r="C30" s="618" t="s">
        <v>386</v>
      </c>
      <c r="D30" s="619"/>
      <c r="E30" s="619"/>
      <c r="F30" s="619"/>
      <c r="G30" s="619"/>
      <c r="H30" s="619"/>
      <c r="I30" s="619"/>
      <c r="J30" s="620"/>
      <c r="K30" s="372">
        <v>0.3125</v>
      </c>
      <c r="L30" s="373">
        <v>3</v>
      </c>
      <c r="M30" s="374">
        <v>3</v>
      </c>
      <c r="N30" s="373">
        <v>2</v>
      </c>
      <c r="O30" s="375">
        <v>1</v>
      </c>
      <c r="P30" s="376">
        <v>1</v>
      </c>
      <c r="Q30" s="452">
        <f>AVERAGE(L30,N30,P30)</f>
        <v>2</v>
      </c>
      <c r="S30" s="624"/>
      <c r="T30" s="624"/>
      <c r="U30" s="624"/>
      <c r="V30" s="624"/>
      <c r="W30" s="624"/>
      <c r="X30" s="624"/>
      <c r="Y30" s="624"/>
      <c r="Z30" s="624"/>
      <c r="AA30" s="624"/>
      <c r="AB30" s="624"/>
      <c r="AC30" s="624"/>
      <c r="AD30" s="624"/>
      <c r="AE30" s="624"/>
      <c r="AF30" s="624"/>
      <c r="AG30" s="624"/>
      <c r="AH30" s="624"/>
      <c r="AI30" s="624"/>
    </row>
    <row r="31" spans="1:35" ht="15.75" customHeight="1" x14ac:dyDescent="0.3">
      <c r="A31" s="182" t="s">
        <v>300</v>
      </c>
      <c r="B31" s="183">
        <v>22224.2</v>
      </c>
      <c r="C31" s="626" t="s">
        <v>387</v>
      </c>
      <c r="D31" s="627"/>
      <c r="E31" s="627"/>
      <c r="F31" s="627"/>
      <c r="G31" s="627"/>
      <c r="H31" s="627"/>
      <c r="I31" s="627"/>
      <c r="J31" s="628"/>
      <c r="K31" s="372">
        <v>0.20830000000000001</v>
      </c>
      <c r="L31" s="373">
        <v>2</v>
      </c>
      <c r="M31" s="374">
        <v>3</v>
      </c>
      <c r="N31" s="373">
        <v>2</v>
      </c>
      <c r="O31" s="375">
        <v>1</v>
      </c>
      <c r="P31" s="376">
        <v>1</v>
      </c>
      <c r="Q31" s="452">
        <f>AVERAGE(L31,N31,P31)</f>
        <v>1.6666666666666667</v>
      </c>
      <c r="S31" s="624"/>
      <c r="T31" s="624"/>
      <c r="U31" s="624"/>
      <c r="V31" s="624"/>
      <c r="W31" s="624"/>
      <c r="X31" s="624"/>
      <c r="Y31" s="624"/>
      <c r="Z31" s="624"/>
      <c r="AA31" s="624"/>
      <c r="AB31" s="624"/>
      <c r="AC31" s="624"/>
      <c r="AD31" s="624"/>
      <c r="AE31" s="624"/>
      <c r="AF31" s="624"/>
      <c r="AG31" s="624"/>
      <c r="AH31" s="624"/>
      <c r="AI31" s="624"/>
    </row>
    <row r="32" spans="1:35" ht="15.75" customHeight="1" x14ac:dyDescent="0.3">
      <c r="A32" s="182" t="s">
        <v>300</v>
      </c>
      <c r="B32" s="183">
        <v>22224.3</v>
      </c>
      <c r="C32" s="626" t="s">
        <v>388</v>
      </c>
      <c r="D32" s="627"/>
      <c r="E32" s="627"/>
      <c r="F32" s="627"/>
      <c r="G32" s="627"/>
      <c r="H32" s="627"/>
      <c r="I32" s="627"/>
      <c r="J32" s="628"/>
      <c r="K32" s="372">
        <v>0.14580000000000001</v>
      </c>
      <c r="L32" s="373">
        <v>1</v>
      </c>
      <c r="M32" s="374">
        <v>3</v>
      </c>
      <c r="N32" s="373">
        <v>2</v>
      </c>
      <c r="O32" s="375">
        <v>1</v>
      </c>
      <c r="P32" s="376">
        <v>1</v>
      </c>
      <c r="Q32" s="452">
        <f>AVERAGE(L32,N32,P32)</f>
        <v>1.3333333333333333</v>
      </c>
      <c r="S32" s="624"/>
      <c r="T32" s="624"/>
      <c r="U32" s="624"/>
      <c r="V32" s="624"/>
      <c r="W32" s="624"/>
      <c r="X32" s="624"/>
      <c r="Y32" s="624"/>
      <c r="Z32" s="624"/>
      <c r="AA32" s="624"/>
      <c r="AB32" s="624"/>
      <c r="AC32" s="624"/>
      <c r="AD32" s="624"/>
      <c r="AE32" s="624"/>
      <c r="AF32" s="624"/>
      <c r="AG32" s="624"/>
      <c r="AH32" s="624"/>
      <c r="AI32" s="624"/>
    </row>
    <row r="33" spans="1:35" ht="15.75" customHeight="1" x14ac:dyDescent="0.3">
      <c r="A33" s="182" t="s">
        <v>300</v>
      </c>
      <c r="B33" s="183">
        <v>22224.400000000001</v>
      </c>
      <c r="C33" s="626" t="s">
        <v>389</v>
      </c>
      <c r="D33" s="627"/>
      <c r="E33" s="627"/>
      <c r="F33" s="627"/>
      <c r="G33" s="627"/>
      <c r="H33" s="627"/>
      <c r="I33" s="627"/>
      <c r="J33" s="628"/>
      <c r="K33" s="372">
        <v>0.14580000000000001</v>
      </c>
      <c r="L33" s="373">
        <v>1</v>
      </c>
      <c r="M33" s="374">
        <v>3</v>
      </c>
      <c r="N33" s="373">
        <v>2</v>
      </c>
      <c r="O33" s="375">
        <v>1</v>
      </c>
      <c r="P33" s="376">
        <v>1</v>
      </c>
      <c r="Q33" s="452">
        <f>AVERAGE(L33,N33,P33)</f>
        <v>1.3333333333333333</v>
      </c>
      <c r="S33" s="624"/>
      <c r="T33" s="624"/>
      <c r="U33" s="624"/>
      <c r="V33" s="624"/>
      <c r="W33" s="624"/>
      <c r="X33" s="624"/>
      <c r="Y33" s="624"/>
      <c r="Z33" s="624"/>
      <c r="AA33" s="624"/>
      <c r="AB33" s="624"/>
      <c r="AC33" s="624"/>
      <c r="AD33" s="624"/>
      <c r="AE33" s="624"/>
      <c r="AF33" s="624"/>
      <c r="AG33" s="624"/>
      <c r="AH33" s="624"/>
      <c r="AI33" s="624"/>
    </row>
    <row r="34" spans="1:35" ht="15.75" customHeight="1" x14ac:dyDescent="0.3">
      <c r="A34" s="182" t="s">
        <v>300</v>
      </c>
      <c r="B34" s="183">
        <v>22224.5</v>
      </c>
      <c r="C34" s="629" t="s">
        <v>390</v>
      </c>
      <c r="D34" s="630"/>
      <c r="E34" s="630"/>
      <c r="F34" s="630"/>
      <c r="G34" s="630"/>
      <c r="H34" s="630"/>
      <c r="I34" s="630"/>
      <c r="J34" s="631"/>
      <c r="K34" s="372">
        <v>0.1875</v>
      </c>
      <c r="L34" s="373">
        <v>2</v>
      </c>
      <c r="M34" s="374">
        <v>3</v>
      </c>
      <c r="N34" s="373">
        <v>2</v>
      </c>
      <c r="O34" s="375">
        <v>1</v>
      </c>
      <c r="P34" s="376">
        <v>1</v>
      </c>
      <c r="Q34" s="452">
        <f>AVERAGE(L34,N34,P34)</f>
        <v>1.6666666666666667</v>
      </c>
      <c r="S34" s="624"/>
      <c r="T34" s="624"/>
      <c r="U34" s="624"/>
      <c r="V34" s="624"/>
      <c r="W34" s="624"/>
      <c r="X34" s="624"/>
      <c r="Y34" s="624"/>
      <c r="Z34" s="624"/>
      <c r="AA34" s="624"/>
      <c r="AB34" s="624"/>
      <c r="AC34" s="624"/>
      <c r="AD34" s="624"/>
      <c r="AE34" s="624"/>
      <c r="AF34" s="624"/>
      <c r="AG34" s="624"/>
      <c r="AH34" s="624"/>
      <c r="AI34" s="624"/>
    </row>
    <row r="35" spans="1:35" x14ac:dyDescent="0.3">
      <c r="A35" s="195"/>
      <c r="B35" s="196"/>
      <c r="C35" s="197"/>
      <c r="D35" s="197"/>
      <c r="E35" s="197"/>
      <c r="F35" s="197"/>
      <c r="G35" s="197"/>
      <c r="H35" s="197"/>
      <c r="I35" s="197"/>
      <c r="J35" s="197"/>
      <c r="K35" s="198"/>
      <c r="L35" s="199"/>
      <c r="S35" s="166"/>
      <c r="T35" s="166"/>
      <c r="U35" s="166"/>
      <c r="V35" s="166"/>
      <c r="W35" s="166"/>
      <c r="X35" s="166"/>
      <c r="Y35" s="166"/>
      <c r="Z35" s="166"/>
      <c r="AA35" s="166"/>
      <c r="AB35" s="166"/>
      <c r="AC35" s="166"/>
      <c r="AD35" s="166"/>
      <c r="AE35" s="166"/>
      <c r="AF35" s="166"/>
      <c r="AG35" s="166"/>
      <c r="AH35" s="166"/>
      <c r="AI35" s="166"/>
    </row>
    <row r="36" spans="1:35" x14ac:dyDescent="0.3">
      <c r="A36" s="230" t="s">
        <v>303</v>
      </c>
      <c r="B36" s="180"/>
      <c r="C36" s="200"/>
      <c r="D36" s="200"/>
      <c r="E36" s="200"/>
      <c r="F36" s="200"/>
      <c r="G36" s="200"/>
      <c r="H36" s="200"/>
      <c r="I36" s="200"/>
      <c r="J36" s="225"/>
      <c r="K36" s="225"/>
      <c r="L36" s="225"/>
      <c r="M36" s="225"/>
      <c r="N36" s="225"/>
      <c r="O36" s="225"/>
      <c r="P36" s="225"/>
      <c r="Q36" s="201"/>
      <c r="S36" s="166"/>
      <c r="T36" s="166"/>
      <c r="U36" s="166"/>
      <c r="V36" s="166"/>
      <c r="W36" s="166"/>
      <c r="X36" s="166"/>
      <c r="Y36" s="166"/>
      <c r="Z36" s="166"/>
      <c r="AA36" s="166"/>
      <c r="AB36" s="166"/>
      <c r="AC36" s="166"/>
      <c r="AD36" s="166"/>
      <c r="AE36" s="166"/>
      <c r="AF36" s="166"/>
      <c r="AG36" s="166"/>
      <c r="AH36" s="166"/>
      <c r="AI36" s="166"/>
    </row>
    <row r="37" spans="1:35" x14ac:dyDescent="0.3">
      <c r="A37" s="202"/>
      <c r="D37" s="203"/>
      <c r="E37" s="203"/>
      <c r="F37" s="203"/>
      <c r="G37" s="203"/>
      <c r="H37" s="203"/>
      <c r="I37" s="203"/>
      <c r="J37" s="449"/>
      <c r="K37" s="449"/>
      <c r="L37" s="449"/>
      <c r="M37" s="449"/>
      <c r="N37" s="449"/>
      <c r="O37" s="449"/>
      <c r="P37" s="449"/>
      <c r="Q37" s="204"/>
      <c r="S37" s="166"/>
      <c r="T37" s="166"/>
      <c r="U37" s="166"/>
      <c r="V37" s="166"/>
      <c r="W37" s="166"/>
      <c r="X37" s="166"/>
      <c r="Y37" s="166"/>
      <c r="Z37" s="166"/>
      <c r="AA37" s="166"/>
      <c r="AB37" s="166"/>
      <c r="AC37" s="166"/>
      <c r="AD37" s="166"/>
      <c r="AE37" s="166"/>
      <c r="AF37" s="166"/>
      <c r="AG37" s="166"/>
      <c r="AH37" s="166"/>
      <c r="AI37" s="166"/>
    </row>
    <row r="38" spans="1:35" ht="96.6" x14ac:dyDescent="0.3">
      <c r="A38" s="87" t="s">
        <v>103</v>
      </c>
      <c r="B38" s="615" t="s">
        <v>304</v>
      </c>
      <c r="C38" s="616"/>
      <c r="D38" s="616"/>
      <c r="E38" s="616"/>
      <c r="F38" s="616"/>
      <c r="G38" s="616"/>
      <c r="H38" s="616"/>
      <c r="I38" s="616"/>
      <c r="J38" s="632"/>
      <c r="K38" s="224" t="s">
        <v>298</v>
      </c>
      <c r="L38" s="205" t="s">
        <v>54</v>
      </c>
      <c r="M38" s="224" t="s">
        <v>97</v>
      </c>
      <c r="N38" s="205" t="s">
        <v>54</v>
      </c>
      <c r="O38" s="224" t="s">
        <v>299</v>
      </c>
      <c r="P38" s="205" t="s">
        <v>54</v>
      </c>
      <c r="Q38" s="232" t="s">
        <v>37</v>
      </c>
      <c r="S38" s="166"/>
      <c r="T38" s="166"/>
      <c r="U38" s="166"/>
      <c r="V38" s="166"/>
      <c r="W38" s="166"/>
      <c r="X38" s="166"/>
      <c r="Y38" s="166"/>
      <c r="Z38" s="166"/>
      <c r="AA38" s="166"/>
      <c r="AB38" s="166"/>
      <c r="AC38" s="166"/>
      <c r="AD38" s="166"/>
      <c r="AE38" s="166"/>
      <c r="AF38" s="166"/>
      <c r="AG38" s="166"/>
      <c r="AH38" s="166"/>
      <c r="AI38" s="166"/>
    </row>
    <row r="39" spans="1:35" ht="15.75" customHeight="1" x14ac:dyDescent="0.3">
      <c r="A39" s="182" t="s">
        <v>300</v>
      </c>
      <c r="B39" s="183">
        <v>22224.1</v>
      </c>
      <c r="C39" s="618" t="s">
        <v>386</v>
      </c>
      <c r="D39" s="619"/>
      <c r="E39" s="619"/>
      <c r="F39" s="619"/>
      <c r="G39" s="619"/>
      <c r="H39" s="619"/>
      <c r="I39" s="619"/>
      <c r="J39" s="620"/>
      <c r="K39" s="372">
        <v>0.3125</v>
      </c>
      <c r="L39" s="373">
        <v>3</v>
      </c>
      <c r="M39" s="64">
        <v>3</v>
      </c>
      <c r="N39" s="423">
        <v>2</v>
      </c>
      <c r="O39" s="375">
        <v>1</v>
      </c>
      <c r="P39" s="376">
        <v>1</v>
      </c>
      <c r="Q39" s="232">
        <f>AVERAGE(L39,N39,P39)</f>
        <v>2</v>
      </c>
      <c r="S39" s="624"/>
      <c r="T39" s="624"/>
      <c r="U39" s="624"/>
      <c r="V39" s="624"/>
      <c r="W39" s="624"/>
      <c r="X39" s="624"/>
      <c r="Y39" s="624"/>
      <c r="Z39" s="624"/>
      <c r="AA39" s="624"/>
      <c r="AB39" s="624"/>
      <c r="AC39" s="624"/>
      <c r="AD39" s="624"/>
      <c r="AE39" s="624"/>
      <c r="AF39" s="624"/>
      <c r="AG39" s="624"/>
      <c r="AH39" s="624"/>
      <c r="AI39" s="624"/>
    </row>
    <row r="40" spans="1:35" ht="15.75" customHeight="1" x14ac:dyDescent="0.3">
      <c r="A40" s="182" t="s">
        <v>300</v>
      </c>
      <c r="B40" s="183">
        <v>22224.2</v>
      </c>
      <c r="C40" s="626" t="s">
        <v>387</v>
      </c>
      <c r="D40" s="627"/>
      <c r="E40" s="627"/>
      <c r="F40" s="627"/>
      <c r="G40" s="627"/>
      <c r="H40" s="627"/>
      <c r="I40" s="627"/>
      <c r="J40" s="628"/>
      <c r="K40" s="372"/>
      <c r="L40" s="373"/>
      <c r="M40" s="185"/>
      <c r="N40" s="84"/>
      <c r="O40" s="375"/>
      <c r="P40" s="376"/>
      <c r="Q40" s="232"/>
      <c r="S40" s="624"/>
      <c r="T40" s="624"/>
      <c r="U40" s="624"/>
      <c r="V40" s="624"/>
      <c r="W40" s="624"/>
      <c r="X40" s="624"/>
      <c r="Y40" s="624"/>
      <c r="Z40" s="624"/>
      <c r="AA40" s="624"/>
      <c r="AB40" s="624"/>
      <c r="AC40" s="624"/>
      <c r="AD40" s="624"/>
      <c r="AE40" s="624"/>
      <c r="AF40" s="624"/>
      <c r="AG40" s="624"/>
      <c r="AH40" s="624"/>
      <c r="AI40" s="624"/>
    </row>
    <row r="41" spans="1:35" ht="15.75" customHeight="1" x14ac:dyDescent="0.3">
      <c r="A41" s="182" t="s">
        <v>300</v>
      </c>
      <c r="B41" s="183">
        <v>22224.3</v>
      </c>
      <c r="C41" s="626" t="s">
        <v>388</v>
      </c>
      <c r="D41" s="627"/>
      <c r="E41" s="627"/>
      <c r="F41" s="627"/>
      <c r="G41" s="627"/>
      <c r="H41" s="627"/>
      <c r="I41" s="627"/>
      <c r="J41" s="628"/>
      <c r="K41" s="372"/>
      <c r="L41" s="373"/>
      <c r="M41" s="185"/>
      <c r="N41" s="84"/>
      <c r="O41" s="375"/>
      <c r="P41" s="376"/>
      <c r="Q41" s="232"/>
      <c r="S41" s="624"/>
      <c r="T41" s="624"/>
      <c r="U41" s="624"/>
      <c r="V41" s="624"/>
      <c r="W41" s="624"/>
      <c r="X41" s="624"/>
      <c r="Y41" s="624"/>
      <c r="Z41" s="624"/>
      <c r="AA41" s="624"/>
      <c r="AB41" s="624"/>
      <c r="AC41" s="624"/>
      <c r="AD41" s="624"/>
      <c r="AE41" s="624"/>
      <c r="AF41" s="624"/>
      <c r="AG41" s="624"/>
      <c r="AH41" s="624"/>
      <c r="AI41" s="624"/>
    </row>
    <row r="42" spans="1:35" ht="15.75" customHeight="1" x14ac:dyDescent="0.3">
      <c r="A42" s="182" t="s">
        <v>300</v>
      </c>
      <c r="B42" s="183">
        <v>22224.400000000001</v>
      </c>
      <c r="C42" s="626" t="s">
        <v>389</v>
      </c>
      <c r="D42" s="627"/>
      <c r="E42" s="627"/>
      <c r="F42" s="627"/>
      <c r="G42" s="627"/>
      <c r="H42" s="627"/>
      <c r="I42" s="627"/>
      <c r="J42" s="628"/>
      <c r="K42" s="372">
        <v>0.14580000000000001</v>
      </c>
      <c r="L42" s="373">
        <v>1</v>
      </c>
      <c r="M42" s="64">
        <v>3</v>
      </c>
      <c r="N42" s="423">
        <v>2</v>
      </c>
      <c r="O42" s="375">
        <v>1</v>
      </c>
      <c r="P42" s="376">
        <v>1</v>
      </c>
      <c r="Q42" s="453">
        <f>AVERAGE(L42,N42,P42)</f>
        <v>1.3333333333333333</v>
      </c>
      <c r="S42" s="624"/>
      <c r="T42" s="624"/>
      <c r="U42" s="624"/>
      <c r="V42" s="624"/>
      <c r="W42" s="624"/>
      <c r="X42" s="624"/>
      <c r="Y42" s="624"/>
      <c r="Z42" s="624"/>
      <c r="AA42" s="624"/>
      <c r="AB42" s="624"/>
      <c r="AC42" s="624"/>
      <c r="AD42" s="624"/>
      <c r="AE42" s="624"/>
      <c r="AF42" s="624"/>
      <c r="AG42" s="624"/>
      <c r="AH42" s="624"/>
      <c r="AI42" s="624"/>
    </row>
    <row r="43" spans="1:35" ht="15.75" customHeight="1" x14ac:dyDescent="0.3">
      <c r="A43" s="182" t="s">
        <v>300</v>
      </c>
      <c r="B43" s="183">
        <v>22224.5</v>
      </c>
      <c r="C43" s="629" t="s">
        <v>390</v>
      </c>
      <c r="D43" s="630"/>
      <c r="E43" s="630"/>
      <c r="F43" s="630"/>
      <c r="G43" s="630"/>
      <c r="H43" s="630"/>
      <c r="I43" s="630"/>
      <c r="J43" s="631"/>
      <c r="K43" s="372">
        <v>0.1875</v>
      </c>
      <c r="L43" s="373">
        <v>2</v>
      </c>
      <c r="M43" s="185">
        <v>3</v>
      </c>
      <c r="N43" s="84">
        <v>2</v>
      </c>
      <c r="O43" s="375">
        <v>1</v>
      </c>
      <c r="P43" s="376">
        <v>1</v>
      </c>
      <c r="Q43" s="453">
        <f>AVERAGE(L43,N43,P43)</f>
        <v>1.6666666666666667</v>
      </c>
      <c r="S43" s="624"/>
      <c r="T43" s="624"/>
      <c r="U43" s="624"/>
      <c r="V43" s="624"/>
      <c r="W43" s="624"/>
      <c r="X43" s="624"/>
      <c r="Y43" s="624"/>
      <c r="Z43" s="624"/>
      <c r="AA43" s="624"/>
      <c r="AB43" s="624"/>
      <c r="AC43" s="624"/>
      <c r="AD43" s="624"/>
      <c r="AE43" s="624"/>
      <c r="AF43" s="624"/>
      <c r="AG43" s="624"/>
      <c r="AH43" s="624"/>
      <c r="AI43" s="624"/>
    </row>
    <row r="44" spans="1:35" x14ac:dyDescent="0.3">
      <c r="A44" s="206"/>
      <c r="B44" s="207"/>
      <c r="C44" s="197"/>
      <c r="D44" s="197"/>
      <c r="E44" s="197"/>
      <c r="F44" s="197"/>
      <c r="G44" s="197"/>
      <c r="H44" s="197"/>
      <c r="I44" s="197"/>
      <c r="J44" s="197"/>
      <c r="K44" s="198"/>
      <c r="L44" s="195"/>
      <c r="M44" s="128"/>
      <c r="N44" s="199"/>
      <c r="O44" s="83"/>
      <c r="P44" s="199"/>
      <c r="Q44" s="208"/>
      <c r="S44" s="424"/>
      <c r="T44" s="424"/>
      <c r="U44" s="424"/>
      <c r="V44" s="424"/>
      <c r="W44" s="424"/>
      <c r="X44" s="424"/>
      <c r="Y44" s="424"/>
      <c r="Z44" s="424"/>
      <c r="AA44" s="424"/>
      <c r="AB44" s="424"/>
      <c r="AC44" s="424"/>
      <c r="AD44" s="424"/>
      <c r="AE44" s="424"/>
      <c r="AF44" s="424"/>
      <c r="AG44" s="424"/>
      <c r="AH44" s="424"/>
      <c r="AI44" s="424"/>
    </row>
    <row r="45" spans="1:35" x14ac:dyDescent="0.3">
      <c r="A45" s="230" t="s">
        <v>351</v>
      </c>
      <c r="B45" s="180"/>
      <c r="C45" s="200"/>
      <c r="D45" s="200"/>
      <c r="E45" s="200"/>
      <c r="F45" s="200"/>
      <c r="G45" s="200"/>
      <c r="H45" s="200"/>
      <c r="I45" s="200"/>
      <c r="J45" s="225"/>
      <c r="K45" s="225"/>
      <c r="L45" s="225"/>
      <c r="M45" s="225"/>
      <c r="N45" s="225"/>
      <c r="O45" s="225"/>
      <c r="P45" s="225"/>
      <c r="Q45" s="201"/>
      <c r="S45" s="166"/>
      <c r="T45" s="166"/>
      <c r="U45" s="166"/>
      <c r="V45" s="166"/>
      <c r="W45" s="166"/>
      <c r="X45" s="166"/>
      <c r="Y45" s="166"/>
      <c r="Z45" s="166"/>
      <c r="AA45" s="166"/>
      <c r="AB45" s="166"/>
      <c r="AC45" s="166"/>
      <c r="AD45" s="166"/>
      <c r="AE45" s="166"/>
      <c r="AF45" s="166"/>
      <c r="AG45" s="166"/>
      <c r="AH45" s="166"/>
      <c r="AI45" s="166"/>
    </row>
    <row r="46" spans="1:35" x14ac:dyDescent="0.3">
      <c r="A46" s="202"/>
      <c r="D46" s="203"/>
      <c r="E46" s="203"/>
      <c r="F46" s="203"/>
      <c r="G46" s="203"/>
      <c r="H46" s="203"/>
      <c r="I46" s="203"/>
      <c r="J46" s="449"/>
      <c r="K46" s="449"/>
      <c r="L46" s="449"/>
      <c r="M46" s="449"/>
      <c r="N46" s="449"/>
      <c r="O46" s="449"/>
      <c r="P46" s="449"/>
      <c r="Q46" s="204"/>
      <c r="S46" s="166"/>
      <c r="T46" s="166"/>
      <c r="U46" s="166"/>
      <c r="V46" s="166"/>
      <c r="W46" s="166"/>
      <c r="X46" s="166"/>
      <c r="Y46" s="166"/>
      <c r="Z46" s="166"/>
      <c r="AA46" s="166"/>
      <c r="AB46" s="166"/>
      <c r="AC46" s="166"/>
      <c r="AD46" s="166"/>
      <c r="AE46" s="166"/>
      <c r="AF46" s="166"/>
      <c r="AG46" s="166"/>
      <c r="AH46" s="166"/>
      <c r="AI46" s="166"/>
    </row>
    <row r="47" spans="1:35" ht="96.6" x14ac:dyDescent="0.3">
      <c r="A47" s="87" t="s">
        <v>103</v>
      </c>
      <c r="B47" s="615" t="s">
        <v>304</v>
      </c>
      <c r="C47" s="616"/>
      <c r="D47" s="616"/>
      <c r="E47" s="616"/>
      <c r="F47" s="616"/>
      <c r="G47" s="616"/>
      <c r="H47" s="616"/>
      <c r="I47" s="616"/>
      <c r="J47" s="632"/>
      <c r="K47" s="224" t="s">
        <v>298</v>
      </c>
      <c r="L47" s="205" t="s">
        <v>54</v>
      </c>
      <c r="M47" s="224" t="s">
        <v>97</v>
      </c>
      <c r="N47" s="205" t="s">
        <v>54</v>
      </c>
      <c r="O47" s="224" t="s">
        <v>299</v>
      </c>
      <c r="P47" s="205" t="s">
        <v>54</v>
      </c>
      <c r="Q47" s="232" t="s">
        <v>38</v>
      </c>
      <c r="S47" s="166"/>
      <c r="T47" s="166"/>
      <c r="U47" s="166"/>
      <c r="V47" s="166"/>
      <c r="W47" s="166"/>
      <c r="X47" s="166"/>
      <c r="Y47" s="166"/>
      <c r="Z47" s="166"/>
      <c r="AA47" s="166"/>
      <c r="AB47" s="166"/>
      <c r="AC47" s="166"/>
      <c r="AD47" s="166"/>
      <c r="AE47" s="166"/>
      <c r="AF47" s="166"/>
      <c r="AG47" s="166"/>
      <c r="AH47" s="166"/>
      <c r="AI47" s="166"/>
    </row>
    <row r="48" spans="1:35" ht="15.75" customHeight="1" x14ac:dyDescent="0.3">
      <c r="A48" s="182" t="s">
        <v>300</v>
      </c>
      <c r="B48" s="183">
        <v>22224.1</v>
      </c>
      <c r="C48" s="618" t="s">
        <v>386</v>
      </c>
      <c r="D48" s="619"/>
      <c r="E48" s="619"/>
      <c r="F48" s="619"/>
      <c r="G48" s="619"/>
      <c r="H48" s="619"/>
      <c r="I48" s="619"/>
      <c r="J48" s="620"/>
      <c r="K48" s="372">
        <v>0.3125</v>
      </c>
      <c r="L48" s="373">
        <v>3</v>
      </c>
      <c r="M48" s="64">
        <v>3</v>
      </c>
      <c r="N48" s="423">
        <v>2</v>
      </c>
      <c r="O48" s="375">
        <v>1</v>
      </c>
      <c r="P48" s="376">
        <v>1</v>
      </c>
      <c r="Q48" s="232">
        <f>AVERAGE(L48,N48,P48)</f>
        <v>2</v>
      </c>
      <c r="S48" s="624"/>
      <c r="T48" s="624"/>
      <c r="U48" s="624"/>
      <c r="V48" s="624"/>
      <c r="W48" s="624"/>
      <c r="X48" s="624"/>
      <c r="Y48" s="624"/>
      <c r="Z48" s="624"/>
      <c r="AA48" s="624"/>
      <c r="AB48" s="624"/>
      <c r="AC48" s="624"/>
      <c r="AD48" s="624"/>
      <c r="AE48" s="624"/>
      <c r="AF48" s="624"/>
      <c r="AG48" s="624"/>
      <c r="AH48" s="624"/>
      <c r="AI48" s="624"/>
    </row>
    <row r="49" spans="1:35" ht="15.75" customHeight="1" x14ac:dyDescent="0.3">
      <c r="A49" s="182" t="s">
        <v>300</v>
      </c>
      <c r="B49" s="183">
        <v>22224.2</v>
      </c>
      <c r="C49" s="626" t="s">
        <v>387</v>
      </c>
      <c r="D49" s="627"/>
      <c r="E49" s="627"/>
      <c r="F49" s="627"/>
      <c r="G49" s="627"/>
      <c r="H49" s="627"/>
      <c r="I49" s="627"/>
      <c r="J49" s="628"/>
      <c r="K49" s="372"/>
      <c r="L49" s="373"/>
      <c r="M49" s="185"/>
      <c r="N49" s="84"/>
      <c r="O49" s="375"/>
      <c r="P49" s="376"/>
      <c r="Q49" s="232"/>
      <c r="S49" s="624"/>
      <c r="T49" s="624"/>
      <c r="U49" s="624"/>
      <c r="V49" s="624"/>
      <c r="W49" s="624"/>
      <c r="X49" s="624"/>
      <c r="Y49" s="624"/>
      <c r="Z49" s="624"/>
      <c r="AA49" s="624"/>
      <c r="AB49" s="624"/>
      <c r="AC49" s="624"/>
      <c r="AD49" s="624"/>
      <c r="AE49" s="624"/>
      <c r="AF49" s="624"/>
      <c r="AG49" s="624"/>
      <c r="AH49" s="624"/>
      <c r="AI49" s="624"/>
    </row>
    <row r="50" spans="1:35" ht="15.75" customHeight="1" x14ac:dyDescent="0.3">
      <c r="A50" s="182" t="s">
        <v>300</v>
      </c>
      <c r="B50" s="183">
        <v>22224.3</v>
      </c>
      <c r="C50" s="626" t="s">
        <v>388</v>
      </c>
      <c r="D50" s="627"/>
      <c r="E50" s="627"/>
      <c r="F50" s="627"/>
      <c r="G50" s="627"/>
      <c r="H50" s="627"/>
      <c r="I50" s="627"/>
      <c r="J50" s="628"/>
      <c r="K50" s="372"/>
      <c r="L50" s="373"/>
      <c r="M50" s="185"/>
      <c r="N50" s="84"/>
      <c r="O50" s="375"/>
      <c r="P50" s="376"/>
      <c r="Q50" s="232"/>
      <c r="S50" s="624"/>
      <c r="T50" s="624"/>
      <c r="U50" s="624"/>
      <c r="V50" s="624"/>
      <c r="W50" s="624"/>
      <c r="X50" s="624"/>
      <c r="Y50" s="624"/>
      <c r="Z50" s="624"/>
      <c r="AA50" s="624"/>
      <c r="AB50" s="624"/>
      <c r="AC50" s="624"/>
      <c r="AD50" s="624"/>
      <c r="AE50" s="624"/>
      <c r="AF50" s="624"/>
      <c r="AG50" s="624"/>
      <c r="AH50" s="624"/>
      <c r="AI50" s="624"/>
    </row>
    <row r="51" spans="1:35" ht="15.75" customHeight="1" x14ac:dyDescent="0.3">
      <c r="A51" s="182" t="s">
        <v>300</v>
      </c>
      <c r="B51" s="183">
        <v>22224.400000000001</v>
      </c>
      <c r="C51" s="626" t="s">
        <v>389</v>
      </c>
      <c r="D51" s="627"/>
      <c r="E51" s="627"/>
      <c r="F51" s="627"/>
      <c r="G51" s="627"/>
      <c r="H51" s="627"/>
      <c r="I51" s="627"/>
      <c r="J51" s="628"/>
      <c r="K51" s="372">
        <v>0.14580000000000001</v>
      </c>
      <c r="L51" s="373">
        <v>1</v>
      </c>
      <c r="M51" s="64">
        <v>3</v>
      </c>
      <c r="N51" s="423">
        <v>2</v>
      </c>
      <c r="O51" s="375">
        <v>1</v>
      </c>
      <c r="P51" s="376">
        <v>1</v>
      </c>
      <c r="Q51" s="453">
        <f>AVERAGE(L51,N51,P51)</f>
        <v>1.3333333333333333</v>
      </c>
      <c r="S51" s="624"/>
      <c r="T51" s="624"/>
      <c r="U51" s="624"/>
      <c r="V51" s="624"/>
      <c r="W51" s="624"/>
      <c r="X51" s="624"/>
      <c r="Y51" s="624"/>
      <c r="Z51" s="624"/>
      <c r="AA51" s="624"/>
      <c r="AB51" s="624"/>
      <c r="AC51" s="624"/>
      <c r="AD51" s="624"/>
      <c r="AE51" s="624"/>
      <c r="AF51" s="624"/>
      <c r="AG51" s="624"/>
      <c r="AH51" s="624"/>
      <c r="AI51" s="624"/>
    </row>
    <row r="52" spans="1:35" ht="15.75" customHeight="1" x14ac:dyDescent="0.3">
      <c r="A52" s="182" t="s">
        <v>300</v>
      </c>
      <c r="B52" s="183">
        <v>22224.5</v>
      </c>
      <c r="C52" s="629" t="s">
        <v>390</v>
      </c>
      <c r="D52" s="630"/>
      <c r="E52" s="630"/>
      <c r="F52" s="630"/>
      <c r="G52" s="630"/>
      <c r="H52" s="630"/>
      <c r="I52" s="630"/>
      <c r="J52" s="631"/>
      <c r="K52" s="372">
        <v>0.1875</v>
      </c>
      <c r="L52" s="373">
        <v>2</v>
      </c>
      <c r="M52" s="185">
        <v>3</v>
      </c>
      <c r="N52" s="84">
        <v>2</v>
      </c>
      <c r="O52" s="375">
        <v>1</v>
      </c>
      <c r="P52" s="376">
        <v>1</v>
      </c>
      <c r="Q52" s="453">
        <f>AVERAGE(L52,N52,P52)</f>
        <v>1.6666666666666667</v>
      </c>
      <c r="S52" s="624"/>
      <c r="T52" s="624"/>
      <c r="U52" s="624"/>
      <c r="V52" s="624"/>
      <c r="W52" s="624"/>
      <c r="X52" s="624"/>
      <c r="Y52" s="624"/>
      <c r="Z52" s="624"/>
      <c r="AA52" s="624"/>
      <c r="AB52" s="624"/>
      <c r="AC52" s="624"/>
      <c r="AD52" s="624"/>
      <c r="AE52" s="624"/>
      <c r="AF52" s="624"/>
      <c r="AG52" s="624"/>
      <c r="AH52" s="624"/>
      <c r="AI52" s="624"/>
    </row>
    <row r="53" spans="1:35" ht="15.75" customHeight="1" x14ac:dyDescent="0.3">
      <c r="A53" s="206"/>
      <c r="B53" s="454"/>
      <c r="C53" s="421"/>
      <c r="D53" s="422"/>
      <c r="E53" s="422"/>
      <c r="F53" s="422"/>
      <c r="G53" s="422"/>
      <c r="H53" s="422"/>
      <c r="I53" s="422"/>
      <c r="J53" s="422"/>
      <c r="K53" s="455"/>
      <c r="L53" s="195"/>
      <c r="M53" s="456"/>
      <c r="N53" s="409"/>
      <c r="O53" s="457"/>
      <c r="P53" s="409"/>
      <c r="Q53" s="458"/>
      <c r="S53" s="424"/>
      <c r="T53" s="424"/>
      <c r="U53" s="424"/>
      <c r="V53" s="424"/>
      <c r="W53" s="424"/>
      <c r="X53" s="424"/>
      <c r="Y53" s="424"/>
      <c r="Z53" s="424"/>
      <c r="AA53" s="424"/>
      <c r="AB53" s="424"/>
      <c r="AC53" s="424"/>
      <c r="AD53" s="424"/>
      <c r="AE53" s="424"/>
      <c r="AF53" s="424"/>
      <c r="AG53" s="424"/>
      <c r="AH53" s="424"/>
      <c r="AI53" s="424"/>
    </row>
    <row r="54" spans="1:35" ht="15.75" customHeight="1" x14ac:dyDescent="0.3">
      <c r="A54" s="230" t="s">
        <v>352</v>
      </c>
      <c r="B54" s="180"/>
      <c r="C54" s="200"/>
      <c r="D54" s="200"/>
      <c r="E54" s="200"/>
      <c r="F54" s="200"/>
      <c r="G54" s="200"/>
      <c r="H54" s="200"/>
      <c r="I54" s="200"/>
      <c r="J54" s="225"/>
      <c r="K54" s="225"/>
      <c r="L54" s="225"/>
      <c r="M54" s="225"/>
      <c r="N54" s="225"/>
      <c r="O54" s="225"/>
      <c r="P54" s="225"/>
      <c r="Q54" s="201"/>
      <c r="S54" s="424"/>
      <c r="T54" s="424"/>
      <c r="U54" s="424"/>
      <c r="V54" s="424"/>
      <c r="W54" s="424"/>
      <c r="X54" s="424"/>
      <c r="Y54" s="424"/>
      <c r="Z54" s="424"/>
      <c r="AA54" s="424"/>
      <c r="AB54" s="424"/>
      <c r="AC54" s="424"/>
      <c r="AD54" s="424"/>
      <c r="AE54" s="424"/>
      <c r="AF54" s="424"/>
      <c r="AG54" s="424"/>
      <c r="AH54" s="424"/>
      <c r="AI54" s="424"/>
    </row>
    <row r="55" spans="1:35" ht="15.75" customHeight="1" x14ac:dyDescent="0.3">
      <c r="A55" s="202"/>
      <c r="D55" s="203"/>
      <c r="E55" s="203"/>
      <c r="F55" s="203"/>
      <c r="G55" s="203"/>
      <c r="H55" s="203"/>
      <c r="I55" s="203"/>
      <c r="J55" s="449"/>
      <c r="K55" s="449"/>
      <c r="L55" s="449"/>
      <c r="M55" s="449"/>
      <c r="N55" s="449"/>
      <c r="O55" s="449"/>
      <c r="P55" s="449"/>
      <c r="Q55" s="204"/>
      <c r="S55" s="424"/>
      <c r="T55" s="424"/>
      <c r="U55" s="424"/>
      <c r="V55" s="424"/>
      <c r="W55" s="424"/>
      <c r="X55" s="424"/>
      <c r="Y55" s="424"/>
      <c r="Z55" s="424"/>
      <c r="AA55" s="424"/>
      <c r="AB55" s="424"/>
      <c r="AC55" s="424"/>
      <c r="AD55" s="424"/>
      <c r="AE55" s="424"/>
      <c r="AF55" s="424"/>
      <c r="AG55" s="424"/>
      <c r="AH55" s="424"/>
      <c r="AI55" s="424"/>
    </row>
    <row r="56" spans="1:35" ht="15.75" customHeight="1" x14ac:dyDescent="0.3">
      <c r="A56" s="87" t="s">
        <v>103</v>
      </c>
      <c r="B56" s="615" t="s">
        <v>304</v>
      </c>
      <c r="C56" s="616"/>
      <c r="D56" s="616"/>
      <c r="E56" s="616"/>
      <c r="F56" s="616"/>
      <c r="G56" s="616"/>
      <c r="H56" s="616"/>
      <c r="I56" s="616"/>
      <c r="J56" s="632"/>
      <c r="K56" s="224" t="s">
        <v>298</v>
      </c>
      <c r="L56" s="205" t="s">
        <v>54</v>
      </c>
      <c r="M56" s="224" t="s">
        <v>97</v>
      </c>
      <c r="N56" s="205" t="s">
        <v>54</v>
      </c>
      <c r="O56" s="224" t="s">
        <v>299</v>
      </c>
      <c r="P56" s="205" t="s">
        <v>54</v>
      </c>
      <c r="Q56" s="232" t="s">
        <v>39</v>
      </c>
      <c r="S56" s="424"/>
      <c r="T56" s="424"/>
      <c r="U56" s="424"/>
      <c r="V56" s="424"/>
      <c r="W56" s="424"/>
      <c r="X56" s="424"/>
      <c r="Y56" s="424"/>
      <c r="Z56" s="424"/>
      <c r="AA56" s="424"/>
      <c r="AB56" s="424"/>
      <c r="AC56" s="424"/>
      <c r="AD56" s="424"/>
      <c r="AE56" s="424"/>
      <c r="AF56" s="424"/>
      <c r="AG56" s="424"/>
      <c r="AH56" s="424"/>
      <c r="AI56" s="424"/>
    </row>
    <row r="57" spans="1:35" ht="15.75" customHeight="1" x14ac:dyDescent="0.3">
      <c r="A57" s="182" t="s">
        <v>300</v>
      </c>
      <c r="B57" s="183">
        <v>22224.1</v>
      </c>
      <c r="C57" s="618" t="s">
        <v>386</v>
      </c>
      <c r="D57" s="619"/>
      <c r="E57" s="619"/>
      <c r="F57" s="619"/>
      <c r="G57" s="619"/>
      <c r="H57" s="619"/>
      <c r="I57" s="619"/>
      <c r="J57" s="620"/>
      <c r="K57" s="372"/>
      <c r="L57" s="84"/>
      <c r="M57" s="64"/>
      <c r="N57" s="423"/>
      <c r="O57" s="375"/>
      <c r="P57" s="423"/>
      <c r="Q57" s="232"/>
      <c r="S57" s="424"/>
      <c r="T57" s="424"/>
      <c r="U57" s="424"/>
      <c r="V57" s="424"/>
      <c r="W57" s="424"/>
      <c r="X57" s="424"/>
      <c r="Y57" s="424"/>
      <c r="Z57" s="424"/>
      <c r="AA57" s="424"/>
      <c r="AB57" s="424"/>
      <c r="AC57" s="424"/>
      <c r="AD57" s="424"/>
      <c r="AE57" s="424"/>
      <c r="AF57" s="424"/>
      <c r="AG57" s="424"/>
      <c r="AH57" s="424"/>
      <c r="AI57" s="424"/>
    </row>
    <row r="58" spans="1:35" ht="15.75" customHeight="1" x14ac:dyDescent="0.3">
      <c r="A58" s="182" t="s">
        <v>300</v>
      </c>
      <c r="B58" s="183">
        <v>22224.2</v>
      </c>
      <c r="C58" s="626" t="s">
        <v>387</v>
      </c>
      <c r="D58" s="627"/>
      <c r="E58" s="627"/>
      <c r="F58" s="627"/>
      <c r="G58" s="627"/>
      <c r="H58" s="627"/>
      <c r="I58" s="627"/>
      <c r="J58" s="628"/>
      <c r="K58" s="372">
        <v>0.20830000000000001</v>
      </c>
      <c r="L58" s="373">
        <v>2</v>
      </c>
      <c r="M58" s="374">
        <v>3</v>
      </c>
      <c r="N58" s="373">
        <v>2</v>
      </c>
      <c r="O58" s="375">
        <v>1</v>
      </c>
      <c r="P58" s="376">
        <v>1</v>
      </c>
      <c r="Q58" s="451">
        <f t="shared" ref="Q58:Q61" si="1">AVERAGE(L58,N58,P58)</f>
        <v>1.6666666666666667</v>
      </c>
      <c r="S58" s="424"/>
      <c r="T58" s="424"/>
      <c r="U58" s="424"/>
      <c r="V58" s="424"/>
      <c r="W58" s="424"/>
      <c r="X58" s="424"/>
      <c r="Y58" s="424"/>
      <c r="Z58" s="424"/>
      <c r="AA58" s="424"/>
      <c r="AB58" s="424"/>
      <c r="AC58" s="424"/>
      <c r="AD58" s="424"/>
      <c r="AE58" s="424"/>
      <c r="AF58" s="424"/>
      <c r="AG58" s="424"/>
      <c r="AH58" s="424"/>
      <c r="AI58" s="424"/>
    </row>
    <row r="59" spans="1:35" ht="15.75" customHeight="1" x14ac:dyDescent="0.3">
      <c r="A59" s="182" t="s">
        <v>300</v>
      </c>
      <c r="B59" s="183">
        <v>22224.3</v>
      </c>
      <c r="C59" s="626" t="s">
        <v>388</v>
      </c>
      <c r="D59" s="627"/>
      <c r="E59" s="627"/>
      <c r="F59" s="627"/>
      <c r="G59" s="627"/>
      <c r="H59" s="627"/>
      <c r="I59" s="627"/>
      <c r="J59" s="628"/>
      <c r="K59" s="372">
        <v>0.14580000000000001</v>
      </c>
      <c r="L59" s="373">
        <v>1</v>
      </c>
      <c r="M59" s="374">
        <v>3</v>
      </c>
      <c r="N59" s="373">
        <v>2</v>
      </c>
      <c r="O59" s="375">
        <v>1</v>
      </c>
      <c r="P59" s="376">
        <v>1</v>
      </c>
      <c r="Q59" s="451">
        <f t="shared" si="1"/>
        <v>1.3333333333333333</v>
      </c>
      <c r="S59" s="424"/>
      <c r="T59" s="424"/>
      <c r="U59" s="424"/>
      <c r="V59" s="424"/>
      <c r="W59" s="424"/>
      <c r="X59" s="424"/>
      <c r="Y59" s="424"/>
      <c r="Z59" s="424"/>
      <c r="AA59" s="424"/>
      <c r="AB59" s="424"/>
      <c r="AC59" s="424"/>
      <c r="AD59" s="424"/>
      <c r="AE59" s="424"/>
      <c r="AF59" s="424"/>
      <c r="AG59" s="424"/>
      <c r="AH59" s="424"/>
      <c r="AI59" s="424"/>
    </row>
    <row r="60" spans="1:35" ht="15.75" customHeight="1" x14ac:dyDescent="0.3">
      <c r="A60" s="182" t="s">
        <v>300</v>
      </c>
      <c r="B60" s="183">
        <v>22224.400000000001</v>
      </c>
      <c r="C60" s="626" t="s">
        <v>389</v>
      </c>
      <c r="D60" s="627"/>
      <c r="E60" s="627"/>
      <c r="F60" s="627"/>
      <c r="G60" s="627"/>
      <c r="H60" s="627"/>
      <c r="I60" s="627"/>
      <c r="J60" s="628"/>
      <c r="K60" s="372">
        <v>0.14580000000000001</v>
      </c>
      <c r="L60" s="373">
        <v>1</v>
      </c>
      <c r="M60" s="374">
        <v>3</v>
      </c>
      <c r="N60" s="373">
        <v>2</v>
      </c>
      <c r="O60" s="375">
        <v>1</v>
      </c>
      <c r="P60" s="376">
        <v>1</v>
      </c>
      <c r="Q60" s="451">
        <f t="shared" si="1"/>
        <v>1.3333333333333333</v>
      </c>
      <c r="S60" s="424"/>
      <c r="T60" s="424"/>
      <c r="U60" s="424"/>
      <c r="V60" s="424"/>
      <c r="W60" s="424"/>
      <c r="X60" s="424"/>
      <c r="Y60" s="424"/>
      <c r="Z60" s="424"/>
      <c r="AA60" s="424"/>
      <c r="AB60" s="424"/>
      <c r="AC60" s="424"/>
      <c r="AD60" s="424"/>
      <c r="AE60" s="424"/>
      <c r="AF60" s="424"/>
      <c r="AG60" s="424"/>
      <c r="AH60" s="424"/>
      <c r="AI60" s="424"/>
    </row>
    <row r="61" spans="1:35" ht="15.75" customHeight="1" x14ac:dyDescent="0.3">
      <c r="A61" s="182" t="s">
        <v>300</v>
      </c>
      <c r="B61" s="183">
        <v>22224.5</v>
      </c>
      <c r="C61" s="629" t="s">
        <v>390</v>
      </c>
      <c r="D61" s="630"/>
      <c r="E61" s="630"/>
      <c r="F61" s="630"/>
      <c r="G61" s="630"/>
      <c r="H61" s="630"/>
      <c r="I61" s="630"/>
      <c r="J61" s="631"/>
      <c r="K61" s="372">
        <v>0.1875</v>
      </c>
      <c r="L61" s="373">
        <v>2</v>
      </c>
      <c r="M61" s="374">
        <v>3</v>
      </c>
      <c r="N61" s="373">
        <v>2</v>
      </c>
      <c r="O61" s="375">
        <v>1</v>
      </c>
      <c r="P61" s="376">
        <v>1</v>
      </c>
      <c r="Q61" s="451">
        <f t="shared" si="1"/>
        <v>1.6666666666666667</v>
      </c>
      <c r="S61" s="424"/>
      <c r="T61" s="424"/>
      <c r="U61" s="424"/>
      <c r="V61" s="424"/>
      <c r="W61" s="424"/>
      <c r="X61" s="424"/>
      <c r="Y61" s="424"/>
      <c r="Z61" s="424"/>
      <c r="AA61" s="424"/>
      <c r="AB61" s="424"/>
      <c r="AC61" s="424"/>
      <c r="AD61" s="424"/>
      <c r="AE61" s="424"/>
      <c r="AF61" s="424"/>
      <c r="AG61" s="424"/>
      <c r="AH61" s="424"/>
      <c r="AI61" s="424"/>
    </row>
    <row r="62" spans="1:35" ht="15.75" customHeight="1" x14ac:dyDescent="0.3">
      <c r="A62" s="206"/>
      <c r="B62" s="454"/>
      <c r="C62" s="421"/>
      <c r="D62" s="422"/>
      <c r="E62" s="422"/>
      <c r="F62" s="422"/>
      <c r="G62" s="422"/>
      <c r="H62" s="422"/>
      <c r="I62" s="422"/>
      <c r="J62" s="422"/>
      <c r="K62" s="455"/>
      <c r="L62" s="195"/>
      <c r="M62" s="456"/>
      <c r="N62" s="409"/>
      <c r="O62" s="457"/>
      <c r="P62" s="409"/>
      <c r="Q62" s="458"/>
      <c r="S62" s="424"/>
      <c r="T62" s="424"/>
      <c r="U62" s="424"/>
      <c r="V62" s="424"/>
      <c r="W62" s="424"/>
      <c r="X62" s="424"/>
      <c r="Y62" s="424"/>
      <c r="Z62" s="424"/>
      <c r="AA62" s="424"/>
      <c r="AB62" s="424"/>
      <c r="AC62" s="424"/>
      <c r="AD62" s="424"/>
      <c r="AE62" s="424"/>
      <c r="AF62" s="424"/>
      <c r="AG62" s="424"/>
      <c r="AH62" s="424"/>
      <c r="AI62" s="424"/>
    </row>
    <row r="63" spans="1:35" ht="15.75" customHeight="1" x14ac:dyDescent="0.3">
      <c r="A63" s="230" t="s">
        <v>353</v>
      </c>
      <c r="B63" s="180"/>
      <c r="C63" s="200"/>
      <c r="D63" s="200"/>
      <c r="E63" s="200"/>
      <c r="F63" s="200"/>
      <c r="G63" s="200"/>
      <c r="H63" s="200"/>
      <c r="I63" s="200"/>
      <c r="J63" s="225"/>
      <c r="K63" s="225"/>
      <c r="L63" s="225"/>
      <c r="M63" s="225"/>
      <c r="N63" s="225"/>
      <c r="O63" s="225"/>
      <c r="P63" s="225"/>
      <c r="Q63" s="201"/>
      <c r="S63" s="424"/>
      <c r="T63" s="424"/>
      <c r="U63" s="424"/>
      <c r="V63" s="424"/>
      <c r="W63" s="424"/>
      <c r="X63" s="424"/>
      <c r="Y63" s="424"/>
      <c r="Z63" s="424"/>
      <c r="AA63" s="424"/>
      <c r="AB63" s="424"/>
      <c r="AC63" s="424"/>
      <c r="AD63" s="424"/>
      <c r="AE63" s="424"/>
      <c r="AF63" s="424"/>
      <c r="AG63" s="424"/>
      <c r="AH63" s="424"/>
      <c r="AI63" s="424"/>
    </row>
    <row r="64" spans="1:35" ht="15.75" customHeight="1" x14ac:dyDescent="0.3">
      <c r="A64" s="202"/>
      <c r="D64" s="203"/>
      <c r="E64" s="203"/>
      <c r="F64" s="203"/>
      <c r="G64" s="203"/>
      <c r="H64" s="203"/>
      <c r="I64" s="203"/>
      <c r="J64" s="449"/>
      <c r="K64" s="449"/>
      <c r="L64" s="449"/>
      <c r="M64" s="449"/>
      <c r="N64" s="449"/>
      <c r="O64" s="449"/>
      <c r="P64" s="449"/>
      <c r="Q64" s="204"/>
      <c r="S64" s="424"/>
      <c r="T64" s="424"/>
      <c r="U64" s="424"/>
      <c r="V64" s="424"/>
      <c r="W64" s="424"/>
      <c r="X64" s="424"/>
      <c r="Y64" s="424"/>
      <c r="Z64" s="424"/>
      <c r="AA64" s="424"/>
      <c r="AB64" s="424"/>
      <c r="AC64" s="424"/>
      <c r="AD64" s="424"/>
      <c r="AE64" s="424"/>
      <c r="AF64" s="424"/>
      <c r="AG64" s="424"/>
      <c r="AH64" s="424"/>
      <c r="AI64" s="424"/>
    </row>
    <row r="65" spans="1:35" ht="15.75" customHeight="1" x14ac:dyDescent="0.3">
      <c r="A65" s="87" t="s">
        <v>103</v>
      </c>
      <c r="B65" s="615" t="s">
        <v>304</v>
      </c>
      <c r="C65" s="616"/>
      <c r="D65" s="616"/>
      <c r="E65" s="616"/>
      <c r="F65" s="616"/>
      <c r="G65" s="616"/>
      <c r="H65" s="616"/>
      <c r="I65" s="616"/>
      <c r="J65" s="632"/>
      <c r="K65" s="224" t="s">
        <v>298</v>
      </c>
      <c r="L65" s="205" t="s">
        <v>54</v>
      </c>
      <c r="M65" s="224" t="s">
        <v>97</v>
      </c>
      <c r="N65" s="205" t="s">
        <v>54</v>
      </c>
      <c r="O65" s="224" t="s">
        <v>299</v>
      </c>
      <c r="P65" s="205" t="s">
        <v>54</v>
      </c>
      <c r="Q65" s="232" t="s">
        <v>40</v>
      </c>
      <c r="S65" s="424"/>
      <c r="T65" s="424"/>
      <c r="U65" s="424"/>
      <c r="V65" s="424"/>
      <c r="W65" s="424"/>
      <c r="X65" s="424"/>
      <c r="Y65" s="424"/>
      <c r="Z65" s="424"/>
      <c r="AA65" s="424"/>
      <c r="AB65" s="424"/>
      <c r="AC65" s="424"/>
      <c r="AD65" s="424"/>
      <c r="AE65" s="424"/>
      <c r="AF65" s="424"/>
      <c r="AG65" s="424"/>
      <c r="AH65" s="424"/>
      <c r="AI65" s="424"/>
    </row>
    <row r="66" spans="1:35" ht="15.75" customHeight="1" x14ac:dyDescent="0.3">
      <c r="A66" s="182" t="s">
        <v>300</v>
      </c>
      <c r="B66" s="183">
        <v>22224.1</v>
      </c>
      <c r="C66" s="618" t="s">
        <v>386</v>
      </c>
      <c r="D66" s="619"/>
      <c r="E66" s="619"/>
      <c r="F66" s="619"/>
      <c r="G66" s="619"/>
      <c r="H66" s="619"/>
      <c r="I66" s="619"/>
      <c r="J66" s="620"/>
      <c r="K66" s="372">
        <v>0.3125</v>
      </c>
      <c r="L66" s="84">
        <v>3</v>
      </c>
      <c r="M66" s="64">
        <v>3</v>
      </c>
      <c r="N66" s="423">
        <v>2</v>
      </c>
      <c r="O66" s="375">
        <v>1</v>
      </c>
      <c r="P66" s="423">
        <v>1</v>
      </c>
      <c r="Q66" s="232">
        <f>AVERAGE(L66,N66,P66)</f>
        <v>2</v>
      </c>
      <c r="S66" s="424"/>
      <c r="T66" s="424"/>
      <c r="U66" s="424"/>
      <c r="V66" s="424"/>
      <c r="W66" s="424"/>
      <c r="X66" s="424"/>
      <c r="Y66" s="424"/>
      <c r="Z66" s="424"/>
      <c r="AA66" s="424"/>
      <c r="AB66" s="424"/>
      <c r="AC66" s="424"/>
      <c r="AD66" s="424"/>
      <c r="AE66" s="424"/>
      <c r="AF66" s="424"/>
      <c r="AG66" s="424"/>
      <c r="AH66" s="424"/>
      <c r="AI66" s="424"/>
    </row>
    <row r="67" spans="1:35" ht="15.75" customHeight="1" x14ac:dyDescent="0.3">
      <c r="A67" s="182" t="s">
        <v>300</v>
      </c>
      <c r="B67" s="183">
        <v>22224.2</v>
      </c>
      <c r="C67" s="626" t="s">
        <v>387</v>
      </c>
      <c r="D67" s="627"/>
      <c r="E67" s="627"/>
      <c r="F67" s="627"/>
      <c r="G67" s="627"/>
      <c r="H67" s="627"/>
      <c r="I67" s="627"/>
      <c r="J67" s="628"/>
      <c r="K67" s="372"/>
      <c r="L67" s="84"/>
      <c r="M67" s="185"/>
      <c r="N67" s="84"/>
      <c r="O67" s="375"/>
      <c r="P67" s="423"/>
      <c r="Q67" s="453"/>
      <c r="S67" s="424"/>
      <c r="T67" s="424"/>
      <c r="U67" s="424"/>
      <c r="V67" s="424"/>
      <c r="W67" s="424"/>
      <c r="X67" s="424"/>
      <c r="Y67" s="424"/>
      <c r="Z67" s="424"/>
      <c r="AA67" s="424"/>
      <c r="AB67" s="424"/>
      <c r="AC67" s="424"/>
      <c r="AD67" s="424"/>
      <c r="AE67" s="424"/>
      <c r="AF67" s="424"/>
      <c r="AG67" s="424"/>
      <c r="AH67" s="424"/>
      <c r="AI67" s="424"/>
    </row>
    <row r="68" spans="1:35" ht="15.75" customHeight="1" x14ac:dyDescent="0.3">
      <c r="A68" s="182" t="s">
        <v>300</v>
      </c>
      <c r="B68" s="183">
        <v>22224.3</v>
      </c>
      <c r="C68" s="626" t="s">
        <v>388</v>
      </c>
      <c r="D68" s="627"/>
      <c r="E68" s="627"/>
      <c r="F68" s="627"/>
      <c r="G68" s="627"/>
      <c r="H68" s="627"/>
      <c r="I68" s="627"/>
      <c r="J68" s="628"/>
      <c r="K68" s="372"/>
      <c r="L68" s="84"/>
      <c r="M68" s="185"/>
      <c r="N68" s="84"/>
      <c r="O68" s="375"/>
      <c r="P68" s="423"/>
      <c r="Q68" s="232"/>
      <c r="S68" s="424"/>
      <c r="T68" s="424"/>
      <c r="U68" s="424"/>
      <c r="V68" s="424"/>
      <c r="W68" s="424"/>
      <c r="X68" s="424"/>
      <c r="Y68" s="424"/>
      <c r="Z68" s="424"/>
      <c r="AA68" s="424"/>
      <c r="AB68" s="424"/>
      <c r="AC68" s="424"/>
      <c r="AD68" s="424"/>
      <c r="AE68" s="424"/>
      <c r="AF68" s="424"/>
      <c r="AG68" s="424"/>
      <c r="AH68" s="424"/>
      <c r="AI68" s="424"/>
    </row>
    <row r="69" spans="1:35" ht="15.75" customHeight="1" x14ac:dyDescent="0.3">
      <c r="A69" s="182" t="s">
        <v>300</v>
      </c>
      <c r="B69" s="183">
        <v>22224.400000000001</v>
      </c>
      <c r="C69" s="626" t="s">
        <v>389</v>
      </c>
      <c r="D69" s="627"/>
      <c r="E69" s="627"/>
      <c r="F69" s="627"/>
      <c r="G69" s="627"/>
      <c r="H69" s="627"/>
      <c r="I69" s="627"/>
      <c r="J69" s="628"/>
      <c r="K69" s="372">
        <v>0.14580000000000001</v>
      </c>
      <c r="L69" s="84">
        <v>1</v>
      </c>
      <c r="M69" s="64">
        <v>3</v>
      </c>
      <c r="N69" s="423">
        <v>2</v>
      </c>
      <c r="O69" s="375">
        <v>1</v>
      </c>
      <c r="P69" s="423">
        <v>1</v>
      </c>
      <c r="Q69" s="453">
        <f t="shared" ref="Q69:Q70" si="2">AVERAGE(L69,N69,P69)</f>
        <v>1.3333333333333333</v>
      </c>
      <c r="S69" s="424"/>
      <c r="T69" s="424"/>
      <c r="U69" s="424"/>
      <c r="V69" s="424"/>
      <c r="W69" s="424"/>
      <c r="X69" s="424"/>
      <c r="Y69" s="424"/>
      <c r="Z69" s="424"/>
      <c r="AA69" s="424"/>
      <c r="AB69" s="424"/>
      <c r="AC69" s="424"/>
      <c r="AD69" s="424"/>
      <c r="AE69" s="424"/>
      <c r="AF69" s="424"/>
      <c r="AG69" s="424"/>
      <c r="AH69" s="424"/>
      <c r="AI69" s="424"/>
    </row>
    <row r="70" spans="1:35" ht="15.75" customHeight="1" x14ac:dyDescent="0.3">
      <c r="A70" s="182" t="s">
        <v>300</v>
      </c>
      <c r="B70" s="183">
        <v>22224.5</v>
      </c>
      <c r="C70" s="629" t="s">
        <v>390</v>
      </c>
      <c r="D70" s="630"/>
      <c r="E70" s="630"/>
      <c r="F70" s="630"/>
      <c r="G70" s="630"/>
      <c r="H70" s="630"/>
      <c r="I70" s="630"/>
      <c r="J70" s="631"/>
      <c r="K70" s="372">
        <v>0.1875</v>
      </c>
      <c r="L70" s="84">
        <v>1</v>
      </c>
      <c r="M70" s="185">
        <v>3</v>
      </c>
      <c r="N70" s="84">
        <v>2</v>
      </c>
      <c r="O70" s="375">
        <v>1</v>
      </c>
      <c r="P70" s="423">
        <v>1</v>
      </c>
      <c r="Q70" s="453">
        <f t="shared" si="2"/>
        <v>1.3333333333333333</v>
      </c>
      <c r="S70" s="424"/>
      <c r="T70" s="424"/>
      <c r="U70" s="424"/>
      <c r="V70" s="424"/>
      <c r="W70" s="424"/>
      <c r="X70" s="424"/>
      <c r="Y70" s="424"/>
      <c r="Z70" s="424"/>
      <c r="AA70" s="424"/>
      <c r="AB70" s="424"/>
      <c r="AC70" s="424"/>
      <c r="AD70" s="424"/>
      <c r="AE70" s="424"/>
      <c r="AF70" s="424"/>
      <c r="AG70" s="424"/>
      <c r="AH70" s="424"/>
      <c r="AI70" s="424"/>
    </row>
    <row r="71" spans="1:35" ht="15.75" customHeight="1" x14ac:dyDescent="0.3">
      <c r="A71" s="206"/>
      <c r="B71" s="454"/>
      <c r="C71" s="421"/>
      <c r="D71" s="422"/>
      <c r="E71" s="422"/>
      <c r="F71" s="422"/>
      <c r="G71" s="422"/>
      <c r="H71" s="422"/>
      <c r="I71" s="422"/>
      <c r="J71" s="422"/>
      <c r="K71" s="455"/>
      <c r="L71" s="195"/>
      <c r="M71" s="456"/>
      <c r="N71" s="409"/>
      <c r="O71" s="457"/>
      <c r="P71" s="409"/>
      <c r="Q71" s="458"/>
      <c r="S71" s="424"/>
      <c r="T71" s="424"/>
      <c r="U71" s="424"/>
      <c r="V71" s="424"/>
      <c r="W71" s="424"/>
      <c r="X71" s="424"/>
      <c r="Y71" s="424"/>
      <c r="Z71" s="424"/>
      <c r="AA71" s="424"/>
      <c r="AB71" s="424"/>
      <c r="AC71" s="424"/>
      <c r="AD71" s="424"/>
      <c r="AE71" s="424"/>
      <c r="AF71" s="424"/>
      <c r="AG71" s="424"/>
      <c r="AH71" s="424"/>
      <c r="AI71" s="424"/>
    </row>
    <row r="72" spans="1:35" ht="15.75" customHeight="1" x14ac:dyDescent="0.3">
      <c r="A72" s="206"/>
      <c r="B72" s="454"/>
      <c r="C72" s="421"/>
      <c r="D72" s="422"/>
      <c r="E72" s="422"/>
      <c r="F72" s="422"/>
      <c r="G72" s="422"/>
      <c r="H72" s="422"/>
      <c r="I72" s="422"/>
      <c r="J72" s="422"/>
      <c r="K72" s="455"/>
      <c r="L72" s="195"/>
      <c r="M72" s="456"/>
      <c r="N72" s="409"/>
      <c r="O72" s="457"/>
      <c r="P72" s="409"/>
      <c r="Q72" s="458"/>
      <c r="S72" s="424"/>
      <c r="T72" s="424"/>
      <c r="U72" s="424"/>
      <c r="V72" s="424"/>
      <c r="W72" s="424"/>
      <c r="X72" s="424"/>
      <c r="Y72" s="424"/>
      <c r="Z72" s="424"/>
      <c r="AA72" s="424"/>
      <c r="AB72" s="424"/>
      <c r="AC72" s="424"/>
      <c r="AD72" s="424"/>
      <c r="AE72" s="424"/>
      <c r="AF72" s="424"/>
      <c r="AG72" s="424"/>
      <c r="AH72" s="424"/>
      <c r="AI72" s="424"/>
    </row>
    <row r="73" spans="1:35" ht="15.75" customHeight="1" x14ac:dyDescent="0.3">
      <c r="A73" s="230" t="s">
        <v>362</v>
      </c>
      <c r="B73" s="180"/>
      <c r="C73" s="200"/>
      <c r="D73" s="200"/>
      <c r="E73" s="200"/>
      <c r="F73" s="200"/>
      <c r="G73" s="200"/>
      <c r="H73" s="200"/>
      <c r="I73" s="200"/>
      <c r="J73" s="200"/>
      <c r="K73" s="225"/>
      <c r="L73" s="225"/>
      <c r="M73" s="225"/>
      <c r="N73" s="225"/>
      <c r="O73" s="225"/>
      <c r="P73" s="225"/>
      <c r="Q73" s="226"/>
      <c r="S73" s="424"/>
      <c r="T73" s="424"/>
      <c r="U73" s="424"/>
      <c r="V73" s="424"/>
      <c r="W73" s="424"/>
      <c r="X73" s="424"/>
      <c r="Y73" s="424"/>
      <c r="Z73" s="424"/>
      <c r="AA73" s="424"/>
      <c r="AB73" s="424"/>
      <c r="AC73" s="424"/>
      <c r="AD73" s="424"/>
      <c r="AE73" s="424"/>
      <c r="AF73" s="424"/>
      <c r="AG73" s="424"/>
      <c r="AH73" s="424"/>
      <c r="AI73" s="424"/>
    </row>
    <row r="74" spans="1:35" ht="15.75" customHeight="1" x14ac:dyDescent="0.3">
      <c r="A74" s="202"/>
      <c r="D74" s="203"/>
      <c r="E74" s="203"/>
      <c r="F74" s="203"/>
      <c r="G74" s="203"/>
      <c r="H74" s="203"/>
      <c r="I74" s="203"/>
      <c r="J74" s="203"/>
      <c r="K74" s="449"/>
      <c r="L74" s="449"/>
      <c r="M74" s="449"/>
      <c r="N74" s="449"/>
      <c r="O74" s="449"/>
      <c r="P74" s="449"/>
      <c r="Q74" s="449"/>
      <c r="S74" s="424"/>
      <c r="T74" s="424"/>
      <c r="U74" s="424"/>
      <c r="V74" s="424"/>
      <c r="W74" s="424"/>
      <c r="X74" s="424"/>
      <c r="Y74" s="424"/>
      <c r="Z74" s="424"/>
      <c r="AA74" s="424"/>
      <c r="AB74" s="424"/>
      <c r="AC74" s="424"/>
      <c r="AD74" s="424"/>
      <c r="AE74" s="424"/>
      <c r="AF74" s="424"/>
      <c r="AG74" s="424"/>
      <c r="AH74" s="424"/>
      <c r="AI74" s="424"/>
    </row>
    <row r="75" spans="1:35" ht="15.75" customHeight="1" x14ac:dyDescent="0.3">
      <c r="A75" s="87" t="s">
        <v>103</v>
      </c>
      <c r="B75" s="615" t="s">
        <v>304</v>
      </c>
      <c r="C75" s="616"/>
      <c r="D75" s="616"/>
      <c r="E75" s="616"/>
      <c r="F75" s="616"/>
      <c r="G75" s="616"/>
      <c r="H75" s="616"/>
      <c r="I75" s="616"/>
      <c r="J75" s="617"/>
      <c r="K75" s="224" t="s">
        <v>298</v>
      </c>
      <c r="L75" s="205" t="s">
        <v>54</v>
      </c>
      <c r="M75" s="224" t="s">
        <v>97</v>
      </c>
      <c r="N75" s="205" t="s">
        <v>54</v>
      </c>
      <c r="O75" s="224" t="s">
        <v>299</v>
      </c>
      <c r="P75" s="205" t="s">
        <v>54</v>
      </c>
      <c r="Q75" s="231" t="s">
        <v>41</v>
      </c>
      <c r="S75" s="424"/>
      <c r="T75" s="424"/>
      <c r="U75" s="424"/>
      <c r="V75" s="424"/>
      <c r="W75" s="424"/>
      <c r="X75" s="424"/>
      <c r="Y75" s="424"/>
      <c r="Z75" s="424"/>
      <c r="AA75" s="424"/>
      <c r="AB75" s="424"/>
      <c r="AC75" s="424"/>
      <c r="AD75" s="424"/>
      <c r="AE75" s="424"/>
      <c r="AF75" s="424"/>
      <c r="AG75" s="424"/>
      <c r="AH75" s="424"/>
      <c r="AI75" s="424"/>
    </row>
    <row r="76" spans="1:35" ht="15.75" customHeight="1" x14ac:dyDescent="0.3">
      <c r="A76" s="182" t="s">
        <v>300</v>
      </c>
      <c r="B76" s="183">
        <v>22224.1</v>
      </c>
      <c r="C76" s="618" t="s">
        <v>386</v>
      </c>
      <c r="D76" s="619"/>
      <c r="E76" s="619"/>
      <c r="F76" s="619"/>
      <c r="G76" s="619"/>
      <c r="H76" s="619"/>
      <c r="I76" s="619"/>
      <c r="J76" s="620"/>
      <c r="K76" s="184">
        <v>0</v>
      </c>
      <c r="L76" s="84"/>
      <c r="M76" s="423">
        <v>1</v>
      </c>
      <c r="N76" s="423">
        <v>1</v>
      </c>
      <c r="O76" s="459"/>
      <c r="P76" s="376"/>
      <c r="Q76" s="231">
        <v>1</v>
      </c>
      <c r="S76" s="424"/>
      <c r="T76" s="424"/>
      <c r="U76" s="424"/>
      <c r="V76" s="424"/>
      <c r="W76" s="424"/>
      <c r="X76" s="424"/>
      <c r="Y76" s="424"/>
      <c r="Z76" s="424"/>
      <c r="AA76" s="424"/>
      <c r="AB76" s="424"/>
      <c r="AC76" s="424"/>
      <c r="AD76" s="424"/>
      <c r="AE76" s="424"/>
      <c r="AF76" s="424"/>
      <c r="AG76" s="424"/>
      <c r="AH76" s="424"/>
      <c r="AI76" s="424"/>
    </row>
    <row r="77" spans="1:35" ht="15.75" customHeight="1" x14ac:dyDescent="0.3">
      <c r="A77" s="182" t="s">
        <v>300</v>
      </c>
      <c r="B77" s="183">
        <v>22224.2</v>
      </c>
      <c r="C77" s="626" t="s">
        <v>387</v>
      </c>
      <c r="D77" s="627"/>
      <c r="E77" s="627"/>
      <c r="F77" s="627"/>
      <c r="G77" s="627"/>
      <c r="H77" s="627"/>
      <c r="I77" s="627"/>
      <c r="J77" s="628"/>
      <c r="K77" s="184">
        <v>0</v>
      </c>
      <c r="L77" s="84"/>
      <c r="M77" s="423">
        <v>1</v>
      </c>
      <c r="N77" s="423">
        <v>1</v>
      </c>
      <c r="O77" s="459"/>
      <c r="P77" s="376"/>
      <c r="Q77" s="231">
        <v>1</v>
      </c>
      <c r="S77" s="424"/>
      <c r="T77" s="424"/>
      <c r="U77" s="424"/>
      <c r="V77" s="424"/>
      <c r="W77" s="424"/>
      <c r="X77" s="424"/>
      <c r="Y77" s="424"/>
      <c r="Z77" s="424"/>
      <c r="AA77" s="424"/>
      <c r="AB77" s="424"/>
      <c r="AC77" s="424"/>
      <c r="AD77" s="424"/>
      <c r="AE77" s="424"/>
      <c r="AF77" s="424"/>
      <c r="AG77" s="424"/>
      <c r="AH77" s="424"/>
      <c r="AI77" s="424"/>
    </row>
    <row r="78" spans="1:35" ht="15.75" customHeight="1" x14ac:dyDescent="0.3">
      <c r="A78" s="182" t="s">
        <v>300</v>
      </c>
      <c r="B78" s="183">
        <v>22224.3</v>
      </c>
      <c r="C78" s="626" t="s">
        <v>388</v>
      </c>
      <c r="D78" s="627"/>
      <c r="E78" s="627"/>
      <c r="F78" s="627"/>
      <c r="G78" s="627"/>
      <c r="H78" s="627"/>
      <c r="I78" s="627"/>
      <c r="J78" s="628"/>
      <c r="K78" s="184">
        <v>0</v>
      </c>
      <c r="L78" s="84"/>
      <c r="M78" s="423">
        <v>1</v>
      </c>
      <c r="N78" s="423">
        <v>1</v>
      </c>
      <c r="O78" s="459"/>
      <c r="P78" s="376"/>
      <c r="Q78" s="231">
        <v>1</v>
      </c>
      <c r="S78" s="424"/>
      <c r="T78" s="424"/>
      <c r="U78" s="424"/>
      <c r="V78" s="424"/>
      <c r="W78" s="424"/>
      <c r="X78" s="424"/>
      <c r="Y78" s="424"/>
      <c r="Z78" s="424"/>
      <c r="AA78" s="424"/>
      <c r="AB78" s="424"/>
      <c r="AC78" s="424"/>
      <c r="AD78" s="424"/>
      <c r="AE78" s="424"/>
      <c r="AF78" s="424"/>
      <c r="AG78" s="424"/>
      <c r="AH78" s="424"/>
      <c r="AI78" s="424"/>
    </row>
    <row r="79" spans="1:35" x14ac:dyDescent="0.3">
      <c r="A79" s="182" t="s">
        <v>300</v>
      </c>
      <c r="B79" s="183">
        <v>22224.400000000001</v>
      </c>
      <c r="C79" s="626" t="s">
        <v>389</v>
      </c>
      <c r="D79" s="627"/>
      <c r="E79" s="627"/>
      <c r="F79" s="627"/>
      <c r="G79" s="627"/>
      <c r="H79" s="627"/>
      <c r="I79" s="627"/>
      <c r="J79" s="628"/>
      <c r="K79" s="184">
        <v>0</v>
      </c>
      <c r="L79" s="84"/>
      <c r="M79" s="423">
        <v>1</v>
      </c>
      <c r="N79" s="423">
        <v>1</v>
      </c>
      <c r="O79" s="459"/>
      <c r="P79" s="376"/>
      <c r="Q79" s="231">
        <v>1</v>
      </c>
      <c r="S79" s="424"/>
      <c r="T79" s="424"/>
      <c r="U79" s="424"/>
      <c r="V79" s="424"/>
      <c r="W79" s="424"/>
      <c r="X79" s="424"/>
      <c r="Y79" s="424"/>
      <c r="Z79" s="424"/>
      <c r="AA79" s="424"/>
      <c r="AB79" s="424"/>
      <c r="AC79" s="424"/>
      <c r="AD79" s="424"/>
      <c r="AE79" s="424"/>
      <c r="AF79" s="424"/>
      <c r="AG79" s="424"/>
      <c r="AH79" s="424"/>
      <c r="AI79" s="424"/>
    </row>
    <row r="80" spans="1:35" x14ac:dyDescent="0.3">
      <c r="A80" s="182" t="s">
        <v>300</v>
      </c>
      <c r="B80" s="183">
        <v>22224.5</v>
      </c>
      <c r="C80" s="629" t="s">
        <v>390</v>
      </c>
      <c r="D80" s="630"/>
      <c r="E80" s="630"/>
      <c r="F80" s="630"/>
      <c r="G80" s="630"/>
      <c r="H80" s="630"/>
      <c r="I80" s="630"/>
      <c r="J80" s="631"/>
      <c r="K80" s="184">
        <v>0</v>
      </c>
      <c r="L80" s="84"/>
      <c r="M80" s="423">
        <v>1</v>
      </c>
      <c r="N80" s="423">
        <v>1</v>
      </c>
      <c r="O80" s="459"/>
      <c r="P80" s="376"/>
      <c r="Q80" s="231">
        <v>1</v>
      </c>
    </row>
    <row r="81" spans="1:24" x14ac:dyDescent="0.3">
      <c r="A81" s="206"/>
      <c r="B81" s="454"/>
      <c r="C81" s="421"/>
      <c r="D81" s="422"/>
      <c r="E81" s="422"/>
      <c r="F81" s="422"/>
      <c r="G81" s="422"/>
      <c r="H81" s="422"/>
      <c r="I81" s="422"/>
      <c r="J81" s="422"/>
      <c r="K81" s="455"/>
      <c r="L81" s="195"/>
      <c r="M81" s="456"/>
      <c r="N81" s="409"/>
      <c r="O81" s="457"/>
      <c r="P81" s="409"/>
      <c r="Q81" s="458"/>
    </row>
    <row r="82" spans="1:24" x14ac:dyDescent="0.3">
      <c r="A82" s="206"/>
      <c r="B82" s="454"/>
      <c r="C82" s="421"/>
      <c r="D82" s="422"/>
      <c r="E82" s="422"/>
      <c r="F82" s="422"/>
      <c r="G82" s="422"/>
      <c r="H82" s="422"/>
      <c r="I82" s="422"/>
      <c r="J82" s="422"/>
      <c r="K82" s="455"/>
      <c r="L82" s="195"/>
      <c r="M82" s="456"/>
      <c r="N82" s="409"/>
      <c r="O82" s="457"/>
      <c r="P82" s="409"/>
      <c r="Q82" s="458"/>
    </row>
    <row r="83" spans="1:24" x14ac:dyDescent="0.3">
      <c r="A83" s="230" t="s">
        <v>363</v>
      </c>
      <c r="B83" s="485" t="s">
        <v>361</v>
      </c>
      <c r="C83" s="486"/>
      <c r="D83" s="486"/>
      <c r="E83" s="486"/>
      <c r="F83" s="486"/>
      <c r="G83" s="200"/>
      <c r="H83" s="200"/>
      <c r="I83" s="200"/>
      <c r="J83" s="200"/>
      <c r="K83" s="225"/>
      <c r="L83" s="225"/>
      <c r="M83" s="225"/>
      <c r="N83" s="225"/>
      <c r="O83" s="225"/>
      <c r="P83" s="225"/>
      <c r="Q83" s="226"/>
    </row>
    <row r="84" spans="1:24" x14ac:dyDescent="0.3">
      <c r="A84" s="202"/>
      <c r="D84" s="203"/>
      <c r="E84" s="203"/>
      <c r="F84" s="203"/>
      <c r="G84" s="203"/>
      <c r="H84" s="203"/>
      <c r="I84" s="203"/>
      <c r="J84" s="203"/>
      <c r="K84" s="449"/>
      <c r="L84" s="449"/>
      <c r="M84" s="449"/>
      <c r="N84" s="449"/>
      <c r="O84" s="449"/>
      <c r="P84" s="449"/>
      <c r="Q84" s="449"/>
    </row>
    <row r="85" spans="1:24" ht="96.6" x14ac:dyDescent="0.3">
      <c r="A85" s="87" t="s">
        <v>103</v>
      </c>
      <c r="B85" s="615" t="s">
        <v>304</v>
      </c>
      <c r="C85" s="616"/>
      <c r="D85" s="616"/>
      <c r="E85" s="616"/>
      <c r="F85" s="616"/>
      <c r="G85" s="616"/>
      <c r="H85" s="616"/>
      <c r="I85" s="616"/>
      <c r="J85" s="617"/>
      <c r="K85" s="224" t="s">
        <v>298</v>
      </c>
      <c r="L85" s="205" t="s">
        <v>54</v>
      </c>
      <c r="M85" s="224" t="s">
        <v>97</v>
      </c>
      <c r="N85" s="205" t="s">
        <v>54</v>
      </c>
      <c r="O85" s="224" t="s">
        <v>299</v>
      </c>
      <c r="P85" s="205" t="s">
        <v>54</v>
      </c>
      <c r="Q85" s="231" t="s">
        <v>47</v>
      </c>
    </row>
    <row r="86" spans="1:24" x14ac:dyDescent="0.3">
      <c r="A86" s="182" t="s">
        <v>300</v>
      </c>
      <c r="B86" s="183">
        <v>22224.1</v>
      </c>
      <c r="C86" s="618" t="s">
        <v>386</v>
      </c>
      <c r="D86" s="619"/>
      <c r="E86" s="619"/>
      <c r="F86" s="619"/>
      <c r="G86" s="619"/>
      <c r="H86" s="619"/>
      <c r="I86" s="619"/>
      <c r="J86" s="620"/>
      <c r="K86" s="184">
        <v>0</v>
      </c>
      <c r="L86" s="84"/>
      <c r="M86" s="423"/>
      <c r="N86" s="423"/>
      <c r="O86" s="459"/>
      <c r="P86" s="376"/>
      <c r="Q86" s="231">
        <v>1</v>
      </c>
    </row>
    <row r="87" spans="1:24" x14ac:dyDescent="0.3">
      <c r="A87" s="182" t="s">
        <v>300</v>
      </c>
      <c r="B87" s="183">
        <v>22224.2</v>
      </c>
      <c r="C87" s="626" t="s">
        <v>387</v>
      </c>
      <c r="D87" s="627"/>
      <c r="E87" s="627"/>
      <c r="F87" s="627"/>
      <c r="G87" s="627"/>
      <c r="H87" s="627"/>
      <c r="I87" s="627"/>
      <c r="J87" s="628"/>
      <c r="K87" s="184">
        <v>0</v>
      </c>
      <c r="L87" s="84"/>
      <c r="M87" s="423"/>
      <c r="N87" s="423"/>
      <c r="O87" s="459"/>
      <c r="P87" s="376"/>
      <c r="Q87" s="231">
        <v>1</v>
      </c>
    </row>
    <row r="88" spans="1:24" x14ac:dyDescent="0.3">
      <c r="A88" s="182" t="s">
        <v>300</v>
      </c>
      <c r="B88" s="183">
        <v>22224.3</v>
      </c>
      <c r="C88" s="626" t="s">
        <v>388</v>
      </c>
      <c r="D88" s="627"/>
      <c r="E88" s="627"/>
      <c r="F88" s="627"/>
      <c r="G88" s="627"/>
      <c r="H88" s="627"/>
      <c r="I88" s="627"/>
      <c r="J88" s="628"/>
      <c r="K88" s="184">
        <v>0</v>
      </c>
      <c r="L88" s="84"/>
      <c r="M88" s="423"/>
      <c r="N88" s="423"/>
      <c r="O88" s="459"/>
      <c r="P88" s="376"/>
      <c r="Q88" s="231">
        <v>1</v>
      </c>
    </row>
    <row r="89" spans="1:24" x14ac:dyDescent="0.3">
      <c r="A89" s="182" t="s">
        <v>300</v>
      </c>
      <c r="B89" s="183">
        <v>22224.400000000001</v>
      </c>
      <c r="C89" s="626" t="s">
        <v>389</v>
      </c>
      <c r="D89" s="627"/>
      <c r="E89" s="627"/>
      <c r="F89" s="627"/>
      <c r="G89" s="627"/>
      <c r="H89" s="627"/>
      <c r="I89" s="627"/>
      <c r="J89" s="628"/>
      <c r="K89" s="184">
        <v>0</v>
      </c>
      <c r="L89" s="84"/>
      <c r="M89" s="423"/>
      <c r="N89" s="423"/>
      <c r="O89" s="459"/>
      <c r="P89" s="376"/>
      <c r="Q89" s="231">
        <v>1</v>
      </c>
    </row>
    <row r="90" spans="1:24" x14ac:dyDescent="0.3">
      <c r="A90" s="182" t="s">
        <v>300</v>
      </c>
      <c r="B90" s="183">
        <v>22224.5</v>
      </c>
      <c r="C90" s="629" t="s">
        <v>390</v>
      </c>
      <c r="D90" s="630"/>
      <c r="E90" s="630"/>
      <c r="F90" s="630"/>
      <c r="G90" s="630"/>
      <c r="H90" s="630"/>
      <c r="I90" s="630"/>
      <c r="J90" s="631"/>
      <c r="K90" s="184">
        <v>0</v>
      </c>
      <c r="L90" s="84"/>
      <c r="M90" s="423"/>
      <c r="N90" s="423"/>
      <c r="O90" s="459"/>
      <c r="P90" s="376"/>
      <c r="Q90" s="231">
        <v>1</v>
      </c>
    </row>
    <row r="91" spans="1:24" x14ac:dyDescent="0.3">
      <c r="A91" s="206"/>
      <c r="B91" s="454"/>
      <c r="C91" s="421"/>
      <c r="D91" s="422"/>
      <c r="E91" s="422"/>
      <c r="F91" s="422"/>
      <c r="G91" s="422"/>
      <c r="H91" s="422"/>
      <c r="I91" s="422"/>
      <c r="J91" s="422"/>
      <c r="K91" s="455"/>
      <c r="L91" s="195"/>
      <c r="M91" s="456"/>
      <c r="N91" s="409"/>
      <c r="O91" s="457"/>
      <c r="P91" s="409"/>
      <c r="Q91" s="458"/>
    </row>
    <row r="92" spans="1:24" x14ac:dyDescent="0.3">
      <c r="A92" s="206"/>
      <c r="B92" s="454"/>
      <c r="C92" s="421"/>
      <c r="D92" s="422"/>
      <c r="E92" s="422"/>
      <c r="F92" s="422"/>
      <c r="G92" s="422"/>
      <c r="H92" s="422"/>
      <c r="I92" s="422"/>
      <c r="J92" s="422"/>
      <c r="K92" s="455"/>
      <c r="L92" s="195"/>
      <c r="M92" s="456"/>
      <c r="N92" s="409"/>
      <c r="O92" s="457"/>
      <c r="P92" s="409"/>
      <c r="Q92" s="458"/>
    </row>
    <row r="93" spans="1:24" x14ac:dyDescent="0.3">
      <c r="A93" s="206"/>
      <c r="B93" s="454"/>
      <c r="C93" s="421"/>
      <c r="D93" s="422"/>
      <c r="E93" s="422"/>
      <c r="F93" s="422"/>
      <c r="G93" s="422"/>
      <c r="H93" s="422"/>
      <c r="I93" s="422"/>
      <c r="J93" s="422"/>
      <c r="K93" s="455"/>
      <c r="L93" s="195"/>
      <c r="M93" s="456"/>
      <c r="N93" s="409"/>
      <c r="O93" s="457"/>
      <c r="P93" s="409"/>
      <c r="Q93" s="458"/>
    </row>
    <row r="94" spans="1:24" x14ac:dyDescent="0.3">
      <c r="A94" s="206"/>
      <c r="B94" s="454"/>
      <c r="C94" s="421"/>
      <c r="D94" s="422"/>
      <c r="E94" s="422"/>
      <c r="F94" s="422"/>
      <c r="G94" s="422"/>
      <c r="H94" s="422"/>
      <c r="I94" s="422"/>
      <c r="J94" s="422"/>
      <c r="K94" s="455"/>
      <c r="L94" s="195"/>
      <c r="M94" s="456"/>
      <c r="N94" s="409"/>
      <c r="O94" s="457"/>
      <c r="P94" s="409"/>
      <c r="Q94" s="458"/>
    </row>
    <row r="95" spans="1:24" x14ac:dyDescent="0.3">
      <c r="A95" s="206"/>
      <c r="B95" s="454"/>
      <c r="C95" s="460"/>
      <c r="D95" s="460"/>
      <c r="E95" s="460"/>
      <c r="F95" s="461"/>
      <c r="G95" s="462"/>
      <c r="H95" s="462"/>
      <c r="I95" s="461"/>
      <c r="J95" s="422"/>
      <c r="K95" s="455"/>
      <c r="L95" s="195"/>
      <c r="M95" s="456"/>
      <c r="N95" s="409"/>
      <c r="O95" s="457"/>
      <c r="P95" s="409"/>
      <c r="Q95" s="458"/>
    </row>
    <row r="96" spans="1:24" x14ac:dyDescent="0.3">
      <c r="E96" s="556" t="s">
        <v>305</v>
      </c>
      <c r="F96" s="606"/>
      <c r="G96" s="606"/>
      <c r="H96" s="606"/>
      <c r="I96" s="606"/>
      <c r="J96" s="58"/>
      <c r="K96" s="58"/>
      <c r="L96" s="58"/>
      <c r="Q96" s="556" t="s">
        <v>305</v>
      </c>
      <c r="R96" s="606"/>
      <c r="S96" s="606"/>
      <c r="T96" s="606"/>
      <c r="U96" s="606"/>
      <c r="V96" s="58"/>
      <c r="W96" s="58"/>
      <c r="X96" s="58"/>
    </row>
    <row r="97" spans="1:35" ht="16.2" thickBot="1" x14ac:dyDescent="0.35"/>
    <row r="98" spans="1:35" x14ac:dyDescent="0.3">
      <c r="B98" s="353" t="s">
        <v>0</v>
      </c>
      <c r="C98" s="354" t="s">
        <v>7</v>
      </c>
      <c r="D98" s="371">
        <v>1</v>
      </c>
      <c r="E98" s="371">
        <v>2</v>
      </c>
      <c r="F98" s="371">
        <v>3</v>
      </c>
      <c r="G98" s="371">
        <v>4</v>
      </c>
      <c r="H98" s="371">
        <v>5</v>
      </c>
      <c r="I98" s="371">
        <v>6</v>
      </c>
      <c r="J98" s="371">
        <v>7</v>
      </c>
      <c r="K98" s="371" t="s">
        <v>47</v>
      </c>
      <c r="L98" s="371" t="s">
        <v>48</v>
      </c>
      <c r="M98" s="58"/>
      <c r="N98" s="353" t="s">
        <v>0</v>
      </c>
      <c r="O98" s="354" t="s">
        <v>7</v>
      </c>
      <c r="P98" s="354">
        <v>1</v>
      </c>
      <c r="Q98" s="354">
        <v>2</v>
      </c>
      <c r="R98" s="354">
        <v>3</v>
      </c>
      <c r="S98" s="354">
        <v>4</v>
      </c>
      <c r="T98" s="354">
        <v>5</v>
      </c>
      <c r="U98" s="354">
        <v>6</v>
      </c>
      <c r="V98" s="354">
        <v>7</v>
      </c>
      <c r="W98" s="354" t="s">
        <v>47</v>
      </c>
      <c r="X98" s="355" t="s">
        <v>48</v>
      </c>
    </row>
    <row r="99" spans="1:35" x14ac:dyDescent="0.3">
      <c r="A99" s="167"/>
      <c r="B99" s="183">
        <v>22224.1</v>
      </c>
      <c r="C99" s="209"/>
      <c r="D99" s="164">
        <v>2</v>
      </c>
      <c r="E99" s="164">
        <v>2</v>
      </c>
      <c r="F99" s="210">
        <v>2</v>
      </c>
      <c r="G99" s="210">
        <v>2</v>
      </c>
      <c r="H99" s="210"/>
      <c r="I99" s="463">
        <v>2</v>
      </c>
      <c r="J99" s="464">
        <v>1</v>
      </c>
      <c r="K99" s="464">
        <v>1</v>
      </c>
      <c r="L99" s="361"/>
      <c r="M99" s="212"/>
      <c r="N99" s="183">
        <v>22224.1</v>
      </c>
      <c r="O99" s="209"/>
      <c r="P99" s="361" t="s">
        <v>350</v>
      </c>
      <c r="Q99" s="361" t="s">
        <v>350</v>
      </c>
      <c r="R99" s="361" t="s">
        <v>350</v>
      </c>
      <c r="S99" s="361" t="s">
        <v>350</v>
      </c>
      <c r="T99" s="209"/>
      <c r="U99" s="361" t="s">
        <v>350</v>
      </c>
      <c r="V99" s="361" t="s">
        <v>350</v>
      </c>
      <c r="W99" s="361" t="s">
        <v>350</v>
      </c>
      <c r="X99" s="361"/>
      <c r="Y99" s="167"/>
      <c r="Z99" s="167"/>
      <c r="AA99" s="167"/>
      <c r="AB99" s="167"/>
      <c r="AC99" s="167"/>
      <c r="AD99" s="167"/>
      <c r="AE99" s="167"/>
      <c r="AF99" s="167"/>
      <c r="AG99" s="167"/>
      <c r="AH99" s="167"/>
      <c r="AI99" s="167"/>
    </row>
    <row r="100" spans="1:35" x14ac:dyDescent="0.3">
      <c r="A100" s="167"/>
      <c r="B100" s="183">
        <v>22224.2</v>
      </c>
      <c r="C100" s="209"/>
      <c r="D100" s="451">
        <v>1.6666666666666667</v>
      </c>
      <c r="E100" s="451">
        <v>1.6666666666666667</v>
      </c>
      <c r="F100" s="465"/>
      <c r="G100" s="210"/>
      <c r="H100" s="466">
        <v>1.6666666666666667</v>
      </c>
      <c r="I100" s="466"/>
      <c r="J100" s="464">
        <v>1</v>
      </c>
      <c r="K100" s="464">
        <v>1</v>
      </c>
      <c r="L100" s="361"/>
      <c r="M100" s="212"/>
      <c r="N100" s="183">
        <v>22224.2</v>
      </c>
      <c r="O100" s="209"/>
      <c r="P100" s="361" t="s">
        <v>350</v>
      </c>
      <c r="Q100" s="361" t="s">
        <v>350</v>
      </c>
      <c r="R100" s="242"/>
      <c r="S100" s="211"/>
      <c r="T100" s="361" t="s">
        <v>350</v>
      </c>
      <c r="U100" s="361"/>
      <c r="V100" s="361" t="s">
        <v>350</v>
      </c>
      <c r="W100" s="361" t="s">
        <v>350</v>
      </c>
      <c r="X100" s="361"/>
      <c r="Y100" s="167"/>
      <c r="Z100" s="167"/>
      <c r="AA100" s="167"/>
      <c r="AB100" s="167"/>
      <c r="AC100" s="167"/>
      <c r="AD100" s="167"/>
      <c r="AE100" s="167"/>
      <c r="AF100" s="167"/>
      <c r="AG100" s="167"/>
      <c r="AH100" s="167"/>
      <c r="AI100" s="167"/>
    </row>
    <row r="101" spans="1:35" x14ac:dyDescent="0.3">
      <c r="A101" s="167"/>
      <c r="B101" s="183">
        <v>22224.3</v>
      </c>
      <c r="C101" s="209"/>
      <c r="D101" s="451">
        <v>1.3333333333333333</v>
      </c>
      <c r="E101" s="451">
        <v>1.3333333333333333</v>
      </c>
      <c r="F101" s="465"/>
      <c r="G101" s="210"/>
      <c r="H101" s="466">
        <v>1.3333333333333333</v>
      </c>
      <c r="I101" s="463"/>
      <c r="J101" s="464">
        <v>1</v>
      </c>
      <c r="K101" s="464">
        <v>1</v>
      </c>
      <c r="L101" s="361"/>
      <c r="M101" s="212"/>
      <c r="N101" s="183">
        <v>22224.3</v>
      </c>
      <c r="O101" s="209"/>
      <c r="P101" s="361" t="s">
        <v>350</v>
      </c>
      <c r="Q101" s="361" t="s">
        <v>350</v>
      </c>
      <c r="R101" s="242"/>
      <c r="S101" s="242"/>
      <c r="T101" s="361" t="s">
        <v>350</v>
      </c>
      <c r="V101" s="361" t="s">
        <v>350</v>
      </c>
      <c r="W101" s="361" t="s">
        <v>350</v>
      </c>
      <c r="X101" s="361"/>
      <c r="Y101" s="167"/>
      <c r="Z101" s="167"/>
      <c r="AA101" s="167"/>
      <c r="AB101" s="167"/>
      <c r="AC101" s="167"/>
      <c r="AD101" s="167"/>
      <c r="AE101" s="167"/>
      <c r="AF101" s="167"/>
      <c r="AG101" s="167"/>
      <c r="AH101" s="167"/>
      <c r="AI101" s="167"/>
    </row>
    <row r="102" spans="1:35" x14ac:dyDescent="0.3">
      <c r="A102" s="167"/>
      <c r="B102" s="183">
        <v>22224.400000000001</v>
      </c>
      <c r="C102" s="209"/>
      <c r="D102" s="451">
        <v>1.3333333333333333</v>
      </c>
      <c r="E102" s="451">
        <v>1.3333333333333333</v>
      </c>
      <c r="F102" s="466">
        <v>1.3333333333333333</v>
      </c>
      <c r="G102" s="467">
        <v>1.3333333333333333</v>
      </c>
      <c r="H102" s="466">
        <v>1.3333333333333333</v>
      </c>
      <c r="I102" s="466">
        <v>1.3333333333333333</v>
      </c>
      <c r="J102" s="464">
        <v>1</v>
      </c>
      <c r="K102" s="464">
        <v>1</v>
      </c>
      <c r="L102" s="361"/>
      <c r="M102" s="212"/>
      <c r="N102" s="183">
        <v>22224.400000000001</v>
      </c>
      <c r="O102" s="209"/>
      <c r="P102" s="361" t="s">
        <v>350</v>
      </c>
      <c r="Q102" s="361" t="s">
        <v>350</v>
      </c>
      <c r="R102" s="361" t="s">
        <v>350</v>
      </c>
      <c r="S102" s="361" t="s">
        <v>350</v>
      </c>
      <c r="T102" s="361" t="s">
        <v>350</v>
      </c>
      <c r="U102" s="361" t="s">
        <v>350</v>
      </c>
      <c r="V102" s="361" t="s">
        <v>350</v>
      </c>
      <c r="W102" s="361" t="s">
        <v>350</v>
      </c>
      <c r="X102" s="361"/>
      <c r="Y102" s="167"/>
      <c r="Z102" s="167"/>
      <c r="AA102" s="167"/>
      <c r="AB102" s="167"/>
      <c r="AC102" s="167"/>
      <c r="AD102" s="167"/>
      <c r="AE102" s="167"/>
      <c r="AF102" s="167"/>
      <c r="AG102" s="167"/>
      <c r="AH102" s="167"/>
      <c r="AI102" s="167"/>
    </row>
    <row r="103" spans="1:35" ht="16.2" thickBot="1" x14ac:dyDescent="0.35">
      <c r="A103" s="167"/>
      <c r="B103" s="183">
        <v>22224.5</v>
      </c>
      <c r="C103" s="209"/>
      <c r="D103" s="451">
        <v>1.6666666666666667</v>
      </c>
      <c r="E103" s="451">
        <v>1.6666666666666667</v>
      </c>
      <c r="F103" s="466">
        <v>1.6666666666666667</v>
      </c>
      <c r="G103" s="467">
        <v>1.6666666666666667</v>
      </c>
      <c r="H103" s="466">
        <v>1.6666666666666667</v>
      </c>
      <c r="I103" s="466">
        <v>1.3333333333333333</v>
      </c>
      <c r="J103" s="464">
        <v>1</v>
      </c>
      <c r="K103" s="464">
        <v>1</v>
      </c>
      <c r="L103" s="361"/>
      <c r="M103" s="212"/>
      <c r="N103" s="183">
        <v>22224.5</v>
      </c>
      <c r="O103" s="209"/>
      <c r="P103" s="361" t="s">
        <v>350</v>
      </c>
      <c r="Q103" s="361" t="s">
        <v>350</v>
      </c>
      <c r="R103" s="361" t="s">
        <v>350</v>
      </c>
      <c r="S103" s="361" t="s">
        <v>350</v>
      </c>
      <c r="T103" s="361" t="s">
        <v>350</v>
      </c>
      <c r="U103" s="361" t="s">
        <v>350</v>
      </c>
      <c r="V103" s="361" t="s">
        <v>350</v>
      </c>
      <c r="W103" s="361" t="s">
        <v>350</v>
      </c>
      <c r="X103" s="361"/>
      <c r="Y103" s="167"/>
      <c r="Z103" s="167"/>
      <c r="AA103" s="167"/>
      <c r="AB103" s="167"/>
      <c r="AC103" s="167"/>
      <c r="AD103" s="167"/>
      <c r="AE103" s="167"/>
      <c r="AF103" s="167"/>
      <c r="AG103" s="167"/>
      <c r="AH103" s="167"/>
      <c r="AI103" s="167"/>
    </row>
    <row r="104" spans="1:35" ht="16.2" thickBot="1" x14ac:dyDescent="0.35">
      <c r="B104" s="213" t="s">
        <v>20</v>
      </c>
      <c r="C104" s="214"/>
      <c r="D104" s="468">
        <f>AVERAGE(D99:D103)</f>
        <v>1.6</v>
      </c>
      <c r="E104" s="468">
        <f t="shared" ref="E104:K104" si="3">AVERAGE(E99:E103)</f>
        <v>1.6</v>
      </c>
      <c r="F104" s="468">
        <f t="shared" si="3"/>
        <v>1.6666666666666667</v>
      </c>
      <c r="G104" s="468">
        <f t="shared" si="3"/>
        <v>1.6666666666666667</v>
      </c>
      <c r="H104" s="468">
        <f t="shared" si="3"/>
        <v>1.5</v>
      </c>
      <c r="I104" s="468">
        <f t="shared" si="3"/>
        <v>1.5555555555555554</v>
      </c>
      <c r="J104" s="468">
        <f t="shared" si="3"/>
        <v>1</v>
      </c>
      <c r="K104" s="468">
        <f t="shared" si="3"/>
        <v>1</v>
      </c>
      <c r="L104" s="468"/>
      <c r="M104" s="199"/>
      <c r="N104" s="127"/>
      <c r="O104" s="199"/>
      <c r="P104" s="199"/>
      <c r="Q104" s="58"/>
    </row>
    <row r="109" spans="1:35" x14ac:dyDescent="0.3">
      <c r="C109" s="80"/>
      <c r="D109" s="80"/>
      <c r="E109" s="80"/>
      <c r="F109" s="80"/>
      <c r="G109" s="80"/>
      <c r="H109" s="80"/>
      <c r="I109" s="80"/>
      <c r="J109" s="80"/>
      <c r="K109" s="80"/>
      <c r="L109" s="80"/>
      <c r="M109" s="80"/>
      <c r="N109" s="80"/>
      <c r="O109" s="80"/>
    </row>
    <row r="110" spans="1:35" x14ac:dyDescent="0.3">
      <c r="C110" s="80"/>
      <c r="D110" s="80"/>
      <c r="E110" s="80"/>
      <c r="F110" s="80"/>
      <c r="G110" s="80"/>
      <c r="H110" s="80"/>
      <c r="I110" s="80"/>
      <c r="J110" s="80"/>
      <c r="K110" s="80"/>
      <c r="L110" s="80"/>
      <c r="M110" s="80"/>
      <c r="N110" s="80"/>
      <c r="O110" s="80"/>
    </row>
  </sheetData>
  <mergeCells count="88">
    <mergeCell ref="Q96:U96"/>
    <mergeCell ref="C87:J87"/>
    <mergeCell ref="C88:J88"/>
    <mergeCell ref="C89:J89"/>
    <mergeCell ref="C90:J90"/>
    <mergeCell ref="E96:I96"/>
    <mergeCell ref="C78:J78"/>
    <mergeCell ref="C79:J79"/>
    <mergeCell ref="C80:J80"/>
    <mergeCell ref="B85:J85"/>
    <mergeCell ref="C86:J86"/>
    <mergeCell ref="C69:J69"/>
    <mergeCell ref="C70:J70"/>
    <mergeCell ref="B75:J75"/>
    <mergeCell ref="C76:J76"/>
    <mergeCell ref="C77:J77"/>
    <mergeCell ref="C61:J61"/>
    <mergeCell ref="B65:J65"/>
    <mergeCell ref="C66:J66"/>
    <mergeCell ref="C67:J67"/>
    <mergeCell ref="C68:J68"/>
    <mergeCell ref="B56:J56"/>
    <mergeCell ref="C57:J57"/>
    <mergeCell ref="C58:J58"/>
    <mergeCell ref="C59:J59"/>
    <mergeCell ref="C60:J60"/>
    <mergeCell ref="T15:V15"/>
    <mergeCell ref="C40:J40"/>
    <mergeCell ref="S40:AI40"/>
    <mergeCell ref="B38:J38"/>
    <mergeCell ref="C39:J39"/>
    <mergeCell ref="S39:AI39"/>
    <mergeCell ref="C32:J32"/>
    <mergeCell ref="S32:AI32"/>
    <mergeCell ref="C33:J33"/>
    <mergeCell ref="S33:AI33"/>
    <mergeCell ref="C34:J34"/>
    <mergeCell ref="S34:AI34"/>
    <mergeCell ref="C31:J31"/>
    <mergeCell ref="S31:AI31"/>
    <mergeCell ref="C22:J22"/>
    <mergeCell ref="C23:J23"/>
    <mergeCell ref="C41:J41"/>
    <mergeCell ref="S41:AI41"/>
    <mergeCell ref="C42:J42"/>
    <mergeCell ref="C48:J48"/>
    <mergeCell ref="S48:AI48"/>
    <mergeCell ref="S42:AI42"/>
    <mergeCell ref="C43:J43"/>
    <mergeCell ref="S43:AI43"/>
    <mergeCell ref="B47:J47"/>
    <mergeCell ref="C52:J52"/>
    <mergeCell ref="S52:AI52"/>
    <mergeCell ref="C49:J49"/>
    <mergeCell ref="S49:AI49"/>
    <mergeCell ref="C50:J50"/>
    <mergeCell ref="S50:AI50"/>
    <mergeCell ref="C51:J51"/>
    <mergeCell ref="S51:AI51"/>
    <mergeCell ref="C24:J24"/>
    <mergeCell ref="C25:J25"/>
    <mergeCell ref="C29:H29"/>
    <mergeCell ref="C30:J30"/>
    <mergeCell ref="S30:AI30"/>
    <mergeCell ref="S25:AC25"/>
    <mergeCell ref="AD25:AI25"/>
    <mergeCell ref="S22:AC22"/>
    <mergeCell ref="AD22:AI22"/>
    <mergeCell ref="S23:AC23"/>
    <mergeCell ref="AD23:AI23"/>
    <mergeCell ref="S24:AC24"/>
    <mergeCell ref="AD24:AI24"/>
    <mergeCell ref="X1:Y1"/>
    <mergeCell ref="Z1:AA1"/>
    <mergeCell ref="T1:U1"/>
    <mergeCell ref="S21:AC21"/>
    <mergeCell ref="E8:I8"/>
    <mergeCell ref="X10:Y10"/>
    <mergeCell ref="Z10:AA10"/>
    <mergeCell ref="T10:V10"/>
    <mergeCell ref="B1:N1"/>
    <mergeCell ref="E2:K2"/>
    <mergeCell ref="B4:N4"/>
    <mergeCell ref="C20:H20"/>
    <mergeCell ref="C21:J21"/>
    <mergeCell ref="T11:V11"/>
    <mergeCell ref="T12:V12"/>
    <mergeCell ref="T14:V14"/>
  </mergeCell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A45"/>
  <sheetViews>
    <sheetView zoomScale="80" zoomScaleNormal="80" workbookViewId="0">
      <selection activeCell="N34" sqref="N34"/>
    </sheetView>
  </sheetViews>
  <sheetFormatPr defaultColWidth="9.109375" defaultRowHeight="14.4" x14ac:dyDescent="0.3"/>
  <cols>
    <col min="1" max="7" width="9.109375" style="1"/>
    <col min="8" max="8" width="22.33203125" style="1" customWidth="1"/>
    <col min="9" max="9" width="9.109375" style="1" customWidth="1"/>
    <col min="10" max="13" width="9.109375" style="1"/>
    <col min="14" max="14" width="18.6640625" style="1" customWidth="1"/>
    <col min="15" max="15" width="9.109375" style="1"/>
    <col min="16" max="16" width="16.5546875" style="1" customWidth="1"/>
    <col min="17" max="17" width="9.88671875" style="1" bestFit="1" customWidth="1"/>
    <col min="18" max="18" width="9.109375" style="1"/>
    <col min="19" max="20" width="9.109375" style="1" customWidth="1"/>
    <col min="21" max="21" width="12.33203125" style="1" hidden="1" customWidth="1"/>
    <col min="22" max="38" width="6.6640625" style="1" hidden="1" customWidth="1"/>
    <col min="39" max="39" width="10" style="1" hidden="1" customWidth="1"/>
    <col min="40" max="40" width="5.6640625" style="1" hidden="1" customWidth="1"/>
    <col min="41" max="41" width="3.109375" style="1" hidden="1" customWidth="1"/>
    <col min="42" max="42" width="8.88671875" style="1" hidden="1" customWidth="1"/>
    <col min="43" max="43" width="17.5546875" style="1" hidden="1" customWidth="1"/>
    <col min="44" max="45" width="11.44140625" style="1" hidden="1" customWidth="1"/>
    <col min="46" max="54" width="0" style="1" hidden="1" customWidth="1"/>
    <col min="55" max="16384" width="9.109375" style="1"/>
  </cols>
  <sheetData>
    <row r="1" spans="1:45" s="2" customFormat="1" ht="18.75" customHeight="1" x14ac:dyDescent="0.3">
      <c r="A1" s="634"/>
      <c r="B1" s="635"/>
      <c r="C1" s="635"/>
      <c r="D1" s="635"/>
      <c r="E1" s="635"/>
      <c r="F1" s="635"/>
      <c r="G1" s="635"/>
      <c r="H1" s="635"/>
      <c r="I1" s="635"/>
      <c r="J1" s="635"/>
      <c r="K1" s="439"/>
      <c r="L1" s="439"/>
      <c r="M1" s="439"/>
      <c r="N1" s="439"/>
      <c r="O1" s="439"/>
      <c r="P1" s="439"/>
      <c r="Q1" s="439"/>
      <c r="R1" s="439"/>
      <c r="S1" s="439"/>
      <c r="U1" s="634" t="s">
        <v>223</v>
      </c>
      <c r="V1" s="634"/>
      <c r="W1" s="634"/>
      <c r="X1" s="634"/>
      <c r="Y1" s="634"/>
      <c r="Z1" s="634"/>
      <c r="AA1" s="634"/>
      <c r="AB1" s="634"/>
      <c r="AC1" s="634"/>
      <c r="AD1" s="634"/>
      <c r="AE1" s="634"/>
      <c r="AF1" s="634"/>
      <c r="AG1" s="634"/>
      <c r="AH1" s="634"/>
      <c r="AI1" s="634"/>
      <c r="AJ1" s="634"/>
      <c r="AK1" s="634"/>
      <c r="AL1" s="634"/>
      <c r="AM1" s="634"/>
    </row>
    <row r="2" spans="1:45" s="2" customFormat="1" ht="15.6" x14ac:dyDescent="0.3">
      <c r="U2" s="671" t="s">
        <v>224</v>
      </c>
      <c r="V2" s="671"/>
      <c r="W2" s="671"/>
      <c r="X2" s="671"/>
      <c r="Y2" s="671"/>
      <c r="Z2" s="671"/>
      <c r="AA2" s="671"/>
      <c r="AB2" s="671"/>
      <c r="AC2" s="671"/>
      <c r="AD2" s="671"/>
      <c r="AE2" s="671"/>
      <c r="AF2" s="671"/>
      <c r="AG2" s="671"/>
      <c r="AH2" s="671"/>
      <c r="AI2" s="671"/>
      <c r="AJ2" s="671"/>
      <c r="AK2" s="671"/>
      <c r="AL2" s="671"/>
      <c r="AM2" s="671"/>
    </row>
    <row r="3" spans="1:45" x14ac:dyDescent="0.3">
      <c r="A3" s="441" t="s">
        <v>5</v>
      </c>
      <c r="B3" s="440" t="s">
        <v>337</v>
      </c>
      <c r="C3" s="440"/>
      <c r="D3" s="441" t="s">
        <v>32</v>
      </c>
      <c r="E3" s="440"/>
      <c r="F3" s="440" t="s">
        <v>335</v>
      </c>
      <c r="G3" s="440" t="s">
        <v>349</v>
      </c>
      <c r="H3" s="442" t="s">
        <v>33</v>
      </c>
      <c r="I3" s="441" t="s">
        <v>377</v>
      </c>
      <c r="J3" s="443"/>
      <c r="K3" s="140"/>
      <c r="L3" s="140"/>
      <c r="M3" s="133"/>
      <c r="N3" s="133"/>
      <c r="O3" s="140"/>
      <c r="P3" s="140"/>
      <c r="Q3" s="140"/>
      <c r="R3" s="140"/>
      <c r="S3" s="140"/>
      <c r="U3" s="441" t="s">
        <v>5</v>
      </c>
      <c r="V3" s="672" t="s">
        <v>225</v>
      </c>
      <c r="W3" s="672"/>
      <c r="X3" s="672"/>
      <c r="Y3" s="672"/>
      <c r="Z3" s="672"/>
      <c r="AA3" s="672"/>
      <c r="AB3" s="673" t="s">
        <v>32</v>
      </c>
      <c r="AC3" s="673"/>
      <c r="AD3" s="672"/>
      <c r="AE3" s="672"/>
      <c r="AF3" s="672"/>
      <c r="AG3" s="674" t="s">
        <v>33</v>
      </c>
      <c r="AH3" s="674"/>
      <c r="AI3" s="675"/>
      <c r="AJ3" s="676"/>
      <c r="AK3" s="676"/>
      <c r="AL3" s="676"/>
      <c r="AM3" s="677"/>
    </row>
    <row r="4" spans="1:45" x14ac:dyDescent="0.3">
      <c r="A4" s="138" t="s">
        <v>806</v>
      </c>
      <c r="B4" s="440"/>
      <c r="C4" s="440">
        <v>22224</v>
      </c>
      <c r="D4" s="441" t="s">
        <v>27</v>
      </c>
      <c r="E4" s="440" t="s">
        <v>376</v>
      </c>
      <c r="F4" s="440"/>
      <c r="G4" s="440"/>
      <c r="H4" s="441"/>
      <c r="I4" s="441"/>
      <c r="J4" s="139"/>
      <c r="K4" s="141"/>
      <c r="L4" s="141"/>
      <c r="M4" s="141"/>
      <c r="N4" s="141"/>
      <c r="O4" s="141"/>
      <c r="P4" s="141"/>
      <c r="Q4" s="141"/>
      <c r="R4" s="141"/>
      <c r="S4" s="141"/>
      <c r="U4" s="441" t="s">
        <v>6</v>
      </c>
      <c r="V4" s="672"/>
      <c r="W4" s="672"/>
      <c r="X4" s="672"/>
      <c r="Y4" s="672"/>
      <c r="Z4" s="672"/>
      <c r="AA4" s="672"/>
      <c r="AB4" s="673" t="s">
        <v>27</v>
      </c>
      <c r="AC4" s="673"/>
      <c r="AD4" s="678"/>
      <c r="AE4" s="678"/>
      <c r="AF4" s="678"/>
      <c r="AG4" s="678"/>
      <c r="AH4" s="678"/>
      <c r="AI4" s="678"/>
      <c r="AJ4" s="678"/>
      <c r="AK4" s="678"/>
      <c r="AL4" s="678"/>
      <c r="AM4" s="678"/>
    </row>
    <row r="5" spans="1:45" ht="15.6" x14ac:dyDescent="0.3">
      <c r="A5" s="661" t="s">
        <v>9</v>
      </c>
      <c r="B5" s="661"/>
      <c r="C5" s="661"/>
      <c r="D5" s="661"/>
      <c r="E5" s="661"/>
      <c r="F5" s="661"/>
      <c r="G5" s="661"/>
      <c r="H5" s="661"/>
      <c r="I5" s="661"/>
      <c r="J5" s="661"/>
      <c r="K5" s="444"/>
      <c r="L5" s="444"/>
      <c r="M5" s="444"/>
      <c r="N5" s="444"/>
      <c r="O5" s="444"/>
      <c r="P5" s="444"/>
      <c r="Q5" s="444"/>
      <c r="R5" s="444"/>
      <c r="S5" s="444"/>
      <c r="U5" s="650" t="s">
        <v>9</v>
      </c>
      <c r="V5" s="650"/>
      <c r="W5" s="650"/>
      <c r="X5" s="650"/>
      <c r="Y5" s="650"/>
      <c r="Z5" s="650"/>
      <c r="AA5" s="650"/>
      <c r="AB5" s="650"/>
      <c r="AC5" s="650"/>
      <c r="AD5" s="650"/>
      <c r="AE5" s="650"/>
      <c r="AF5" s="650"/>
      <c r="AG5" s="650"/>
      <c r="AH5" s="650"/>
      <c r="AI5" s="650"/>
      <c r="AJ5" s="650"/>
      <c r="AK5" s="650"/>
      <c r="AL5" s="650"/>
      <c r="AM5" s="650"/>
    </row>
    <row r="6" spans="1:45" x14ac:dyDescent="0.3">
      <c r="M6" s="642" t="s">
        <v>323</v>
      </c>
      <c r="N6" s="643"/>
      <c r="O6" s="643"/>
      <c r="P6" s="643"/>
      <c r="U6" s="445" t="s">
        <v>0</v>
      </c>
      <c r="V6" s="129" t="s">
        <v>7</v>
      </c>
      <c r="W6" s="129"/>
      <c r="X6" s="129"/>
      <c r="Y6" s="129"/>
      <c r="Z6" s="129"/>
      <c r="AA6" s="129"/>
      <c r="AB6" s="129"/>
      <c r="AC6" s="129"/>
      <c r="AD6" s="129"/>
      <c r="AE6" s="129"/>
      <c r="AF6" s="129"/>
      <c r="AG6" s="129"/>
      <c r="AH6" s="129"/>
      <c r="AI6" s="129"/>
      <c r="AJ6" s="129" t="s">
        <v>8</v>
      </c>
      <c r="AK6" s="129"/>
    </row>
    <row r="7" spans="1:45" x14ac:dyDescent="0.3">
      <c r="A7" s="445" t="s">
        <v>0</v>
      </c>
      <c r="B7" s="636" t="s">
        <v>7</v>
      </c>
      <c r="C7" s="637"/>
      <c r="D7" s="637"/>
      <c r="E7" s="637"/>
      <c r="F7" s="637"/>
      <c r="G7" s="637"/>
      <c r="H7" s="638"/>
      <c r="I7" s="129" t="s">
        <v>8</v>
      </c>
      <c r="J7" s="129"/>
      <c r="K7" s="130"/>
      <c r="L7" s="131"/>
      <c r="U7" s="445"/>
      <c r="V7" s="34">
        <v>1</v>
      </c>
      <c r="W7" s="34">
        <v>2</v>
      </c>
      <c r="X7" s="34">
        <v>3</v>
      </c>
      <c r="Y7" s="34"/>
      <c r="Z7" s="34"/>
      <c r="AA7" s="34">
        <v>4</v>
      </c>
      <c r="AB7" s="34">
        <v>5</v>
      </c>
      <c r="AC7" s="34">
        <v>6</v>
      </c>
      <c r="AD7" s="34">
        <v>7</v>
      </c>
      <c r="AE7" s="34"/>
      <c r="AF7" s="34"/>
      <c r="AG7" s="34"/>
      <c r="AH7" s="34"/>
      <c r="AI7" s="34"/>
      <c r="AJ7" s="34">
        <v>1</v>
      </c>
      <c r="AK7" s="34">
        <v>2</v>
      </c>
    </row>
    <row r="8" spans="1:45" x14ac:dyDescent="0.3">
      <c r="A8" s="445"/>
      <c r="B8" s="34">
        <v>1</v>
      </c>
      <c r="C8" s="34">
        <v>2</v>
      </c>
      <c r="D8" s="34">
        <v>3</v>
      </c>
      <c r="E8" s="34">
        <v>4</v>
      </c>
      <c r="F8" s="34">
        <v>5</v>
      </c>
      <c r="G8" s="34">
        <v>6</v>
      </c>
      <c r="H8" s="34">
        <v>7</v>
      </c>
      <c r="I8" s="34">
        <v>1</v>
      </c>
      <c r="J8" s="34">
        <v>2</v>
      </c>
      <c r="K8" s="132"/>
      <c r="L8" s="133"/>
      <c r="M8" s="60" t="s">
        <v>116</v>
      </c>
      <c r="N8" s="60" t="s">
        <v>117</v>
      </c>
      <c r="O8" s="60" t="s">
        <v>115</v>
      </c>
      <c r="P8" s="60" t="s">
        <v>55</v>
      </c>
      <c r="U8" s="448" t="s">
        <v>121</v>
      </c>
      <c r="V8" s="35"/>
      <c r="W8" s="35"/>
      <c r="X8" s="35"/>
      <c r="Y8" s="35"/>
      <c r="Z8" s="35"/>
      <c r="AA8" s="35"/>
      <c r="AB8" s="35"/>
      <c r="AC8" s="35"/>
      <c r="AD8" s="35"/>
      <c r="AE8" s="35"/>
      <c r="AF8" s="35"/>
      <c r="AG8" s="35"/>
      <c r="AH8" s="35"/>
      <c r="AI8" s="35"/>
      <c r="AJ8" s="35"/>
      <c r="AK8" s="35"/>
      <c r="AP8" s="60" t="s">
        <v>116</v>
      </c>
      <c r="AQ8" s="60" t="s">
        <v>117</v>
      </c>
      <c r="AR8" s="60" t="s">
        <v>115</v>
      </c>
      <c r="AS8" s="60" t="s">
        <v>55</v>
      </c>
    </row>
    <row r="9" spans="1:45" ht="15" customHeight="1" x14ac:dyDescent="0.3">
      <c r="A9" s="448">
        <v>22224.1</v>
      </c>
      <c r="B9" s="164">
        <v>2</v>
      </c>
      <c r="C9" s="164">
        <v>2</v>
      </c>
      <c r="D9" s="210">
        <v>2</v>
      </c>
      <c r="E9" s="210">
        <v>2</v>
      </c>
      <c r="F9" s="210"/>
      <c r="G9" s="463">
        <v>2</v>
      </c>
      <c r="H9" s="464">
        <v>1</v>
      </c>
      <c r="I9" s="464">
        <v>1</v>
      </c>
      <c r="J9" s="35"/>
      <c r="K9" s="134"/>
      <c r="L9" s="135"/>
      <c r="M9" s="430" t="s">
        <v>226</v>
      </c>
      <c r="N9" s="115" t="s">
        <v>233</v>
      </c>
      <c r="O9" s="92">
        <v>0.4</v>
      </c>
      <c r="P9" s="682" t="s">
        <v>354</v>
      </c>
      <c r="U9" s="448" t="s">
        <v>122</v>
      </c>
      <c r="V9" s="35"/>
      <c r="W9" s="35"/>
      <c r="X9" s="35"/>
      <c r="Y9" s="35"/>
      <c r="Z9" s="35"/>
      <c r="AA9" s="35"/>
      <c r="AB9" s="35"/>
      <c r="AC9" s="35"/>
      <c r="AD9" s="35"/>
      <c r="AE9" s="35"/>
      <c r="AF9" s="35"/>
      <c r="AG9" s="35"/>
      <c r="AH9" s="35"/>
      <c r="AI9" s="35"/>
      <c r="AJ9" s="35"/>
      <c r="AK9" s="35"/>
      <c r="AP9" s="430" t="s">
        <v>187</v>
      </c>
      <c r="AQ9" s="115" t="s">
        <v>189</v>
      </c>
      <c r="AR9" s="92">
        <v>0.15</v>
      </c>
      <c r="AS9" s="682" t="s">
        <v>118</v>
      </c>
    </row>
    <row r="10" spans="1:45" ht="15.6" x14ac:dyDescent="0.3">
      <c r="A10" s="448">
        <v>22224.2</v>
      </c>
      <c r="B10" s="451">
        <v>1.6666666666666667</v>
      </c>
      <c r="C10" s="451">
        <v>1.6666666666666667</v>
      </c>
      <c r="D10" s="465"/>
      <c r="E10" s="210"/>
      <c r="F10" s="466">
        <v>1.6666666666666667</v>
      </c>
      <c r="G10" s="466"/>
      <c r="H10" s="464">
        <v>1</v>
      </c>
      <c r="I10" s="464">
        <v>1</v>
      </c>
      <c r="J10" s="35"/>
      <c r="K10" s="134"/>
      <c r="L10" s="135"/>
      <c r="M10" s="430" t="s">
        <v>227</v>
      </c>
      <c r="N10" s="115" t="s">
        <v>234</v>
      </c>
      <c r="O10" s="92">
        <v>0.4</v>
      </c>
      <c r="P10" s="683"/>
      <c r="U10" s="448" t="s">
        <v>123</v>
      </c>
      <c r="V10" s="35"/>
      <c r="W10" s="35"/>
      <c r="X10" s="35"/>
      <c r="Y10" s="35"/>
      <c r="Z10" s="35"/>
      <c r="AA10" s="35"/>
      <c r="AB10" s="35"/>
      <c r="AC10" s="35"/>
      <c r="AD10" s="35"/>
      <c r="AE10" s="35"/>
      <c r="AF10" s="35"/>
      <c r="AG10" s="35"/>
      <c r="AH10" s="35"/>
      <c r="AI10" s="35"/>
      <c r="AJ10" s="35"/>
      <c r="AK10" s="35"/>
      <c r="AP10" s="430" t="s">
        <v>188</v>
      </c>
      <c r="AQ10" s="115" t="s">
        <v>190</v>
      </c>
      <c r="AR10" s="92">
        <v>0.15</v>
      </c>
      <c r="AS10" s="683"/>
    </row>
    <row r="11" spans="1:45" ht="15.6" x14ac:dyDescent="0.3">
      <c r="A11" s="448">
        <v>22224.3</v>
      </c>
      <c r="B11" s="451">
        <v>1.3333333333333333</v>
      </c>
      <c r="C11" s="451">
        <v>1.3333333333333333</v>
      </c>
      <c r="D11" s="465"/>
      <c r="E11" s="210"/>
      <c r="F11" s="466">
        <v>1.3333333333333333</v>
      </c>
      <c r="G11" s="463"/>
      <c r="H11" s="464">
        <v>1</v>
      </c>
      <c r="I11" s="464">
        <v>1</v>
      </c>
      <c r="J11" s="35"/>
      <c r="K11" s="134"/>
      <c r="L11" s="135"/>
      <c r="M11" s="430" t="s">
        <v>229</v>
      </c>
      <c r="N11" s="91" t="s">
        <v>228</v>
      </c>
      <c r="O11" s="89">
        <v>0.1</v>
      </c>
      <c r="P11" s="683"/>
      <c r="U11" s="448" t="s">
        <v>124</v>
      </c>
      <c r="V11" s="35"/>
      <c r="W11" s="35"/>
      <c r="X11" s="35"/>
      <c r="Y11" s="35"/>
      <c r="Z11" s="35"/>
      <c r="AA11" s="35"/>
      <c r="AB11" s="35"/>
      <c r="AC11" s="35"/>
      <c r="AD11" s="35"/>
      <c r="AE11" s="35"/>
      <c r="AF11" s="35"/>
      <c r="AG11" s="35"/>
      <c r="AH11" s="35"/>
      <c r="AI11" s="35"/>
      <c r="AJ11" s="35"/>
      <c r="AK11" s="35"/>
      <c r="AP11" s="430" t="s">
        <v>31</v>
      </c>
      <c r="AQ11" s="91" t="s">
        <v>112</v>
      </c>
      <c r="AR11" s="89">
        <v>0.25</v>
      </c>
      <c r="AS11" s="683"/>
    </row>
    <row r="12" spans="1:45" ht="15.6" x14ac:dyDescent="0.3">
      <c r="A12" s="448">
        <v>22224.400000000001</v>
      </c>
      <c r="B12" s="451">
        <v>1.3333333333333333</v>
      </c>
      <c r="C12" s="451">
        <v>1.3333333333333333</v>
      </c>
      <c r="D12" s="466">
        <v>1.3333333333333333</v>
      </c>
      <c r="E12" s="467">
        <v>1.3333333333333333</v>
      </c>
      <c r="F12" s="466">
        <v>1.3333333333333333</v>
      </c>
      <c r="G12" s="466">
        <v>1.3333333333333333</v>
      </c>
      <c r="H12" s="464">
        <v>1</v>
      </c>
      <c r="I12" s="464">
        <v>1</v>
      </c>
      <c r="J12" s="35"/>
      <c r="K12" s="134"/>
      <c r="L12" s="135"/>
      <c r="M12" s="430" t="s">
        <v>230</v>
      </c>
      <c r="N12" s="91" t="s">
        <v>105</v>
      </c>
      <c r="O12" s="89">
        <v>0.1</v>
      </c>
      <c r="P12" s="683"/>
      <c r="U12" s="448" t="s">
        <v>125</v>
      </c>
      <c r="V12" s="35"/>
      <c r="W12" s="35"/>
      <c r="X12" s="35"/>
      <c r="Y12" s="35"/>
      <c r="Z12" s="35"/>
      <c r="AA12" s="35"/>
      <c r="AB12" s="35"/>
      <c r="AC12" s="35"/>
      <c r="AD12" s="35"/>
      <c r="AE12" s="35"/>
      <c r="AF12" s="35"/>
      <c r="AG12" s="35"/>
      <c r="AH12" s="35"/>
      <c r="AI12" s="35"/>
      <c r="AJ12" s="35"/>
      <c r="AK12" s="35"/>
      <c r="AP12" s="430" t="s">
        <v>12</v>
      </c>
      <c r="AQ12" s="91" t="s">
        <v>105</v>
      </c>
      <c r="AR12" s="89">
        <v>0.05</v>
      </c>
      <c r="AS12" s="684"/>
    </row>
    <row r="13" spans="1:45" ht="15.6" x14ac:dyDescent="0.3">
      <c r="A13" s="448">
        <v>22224.5</v>
      </c>
      <c r="B13" s="451">
        <v>1.6666666666666667</v>
      </c>
      <c r="C13" s="451">
        <v>1.6666666666666667</v>
      </c>
      <c r="D13" s="466">
        <v>1.6666666666666667</v>
      </c>
      <c r="E13" s="467">
        <v>1.6666666666666667</v>
      </c>
      <c r="F13" s="466">
        <v>1.6666666666666667</v>
      </c>
      <c r="G13" s="466">
        <v>1.3333333333333333</v>
      </c>
      <c r="H13" s="464">
        <v>1</v>
      </c>
      <c r="I13" s="464">
        <v>1</v>
      </c>
      <c r="J13" s="35"/>
      <c r="K13" s="134"/>
      <c r="L13" s="135"/>
      <c r="M13" s="430"/>
      <c r="N13" s="91"/>
      <c r="O13" s="89"/>
      <c r="P13" s="684"/>
      <c r="U13" s="448" t="s">
        <v>159</v>
      </c>
      <c r="V13" s="35"/>
      <c r="W13" s="35"/>
      <c r="X13" s="35"/>
      <c r="Y13" s="35"/>
      <c r="Z13" s="35"/>
      <c r="AA13" s="35"/>
      <c r="AB13" s="35"/>
      <c r="AC13" s="35"/>
      <c r="AD13" s="35"/>
      <c r="AE13" s="35"/>
      <c r="AF13" s="35"/>
      <c r="AG13" s="35"/>
      <c r="AH13" s="35"/>
      <c r="AI13" s="35"/>
      <c r="AJ13" s="35"/>
      <c r="AK13" s="35"/>
      <c r="AP13" s="430"/>
      <c r="AQ13" s="91"/>
      <c r="AR13" s="89"/>
      <c r="AS13" s="436"/>
    </row>
    <row r="14" spans="1:45" ht="15" customHeight="1" x14ac:dyDescent="0.3">
      <c r="A14" s="448"/>
      <c r="B14" s="35"/>
      <c r="C14" s="35"/>
      <c r="D14" s="35"/>
      <c r="E14" s="35"/>
      <c r="F14" s="35"/>
      <c r="G14" s="35"/>
      <c r="H14" s="35"/>
      <c r="I14" s="35"/>
      <c r="J14" s="35"/>
      <c r="K14" s="134"/>
      <c r="L14" s="135"/>
      <c r="M14" s="430" t="s">
        <v>231</v>
      </c>
      <c r="N14" s="91" t="s">
        <v>161</v>
      </c>
      <c r="O14" s="89">
        <v>1</v>
      </c>
      <c r="P14" s="646" t="s">
        <v>355</v>
      </c>
      <c r="U14" s="36">
        <f>V4</f>
        <v>0</v>
      </c>
      <c r="V14" s="43" t="str">
        <f>IF(SUM(V8:V13)=0,"-",AVERAGE(V8:V13))</f>
        <v>-</v>
      </c>
      <c r="W14" s="43" t="str">
        <f t="shared" ref="W14:AK14" si="0">IF(SUM(W8:W13)=0,"-",AVERAGE(W8:W13))</f>
        <v>-</v>
      </c>
      <c r="X14" s="43" t="str">
        <f t="shared" si="0"/>
        <v>-</v>
      </c>
      <c r="Y14" s="43"/>
      <c r="Z14" s="43"/>
      <c r="AA14" s="43" t="str">
        <f t="shared" si="0"/>
        <v>-</v>
      </c>
      <c r="AB14" s="43" t="str">
        <f t="shared" si="0"/>
        <v>-</v>
      </c>
      <c r="AC14" s="43" t="str">
        <f t="shared" si="0"/>
        <v>-</v>
      </c>
      <c r="AD14" s="43" t="str">
        <f t="shared" si="0"/>
        <v>-</v>
      </c>
      <c r="AE14" s="43" t="str">
        <f t="shared" si="0"/>
        <v>-</v>
      </c>
      <c r="AF14" s="43" t="str">
        <f t="shared" si="0"/>
        <v>-</v>
      </c>
      <c r="AG14" s="43" t="str">
        <f t="shared" si="0"/>
        <v>-</v>
      </c>
      <c r="AH14" s="43" t="str">
        <f t="shared" si="0"/>
        <v>-</v>
      </c>
      <c r="AI14" s="43" t="str">
        <f t="shared" si="0"/>
        <v>-</v>
      </c>
      <c r="AJ14" s="43" t="str">
        <f t="shared" si="0"/>
        <v>-</v>
      </c>
      <c r="AK14" s="43" t="str">
        <f t="shared" si="0"/>
        <v>-</v>
      </c>
      <c r="AL14" s="648"/>
      <c r="AM14" s="649"/>
      <c r="AN14" s="649"/>
      <c r="AP14" s="430" t="s">
        <v>160</v>
      </c>
      <c r="AQ14" s="91" t="s">
        <v>161</v>
      </c>
      <c r="AR14" s="89">
        <v>0.4</v>
      </c>
      <c r="AS14" s="646" t="s">
        <v>119</v>
      </c>
    </row>
    <row r="15" spans="1:45" ht="15.6" x14ac:dyDescent="0.3">
      <c r="A15" s="36"/>
      <c r="B15" s="469">
        <f>IF(SUM(B9:B13)=0,"-",AVERAGE(B9:B13))</f>
        <v>1.6</v>
      </c>
      <c r="C15" s="469">
        <f t="shared" ref="C15:I15" si="1">IF(SUM(C9:C13)=0,"-",AVERAGE(C9:C13))</f>
        <v>1.6</v>
      </c>
      <c r="D15" s="469">
        <f t="shared" si="1"/>
        <v>1.6666666666666667</v>
      </c>
      <c r="E15" s="469">
        <f t="shared" si="1"/>
        <v>1.6666666666666667</v>
      </c>
      <c r="F15" s="469">
        <f t="shared" si="1"/>
        <v>1.5</v>
      </c>
      <c r="G15" s="469">
        <f t="shared" si="1"/>
        <v>1.5555555555555554</v>
      </c>
      <c r="H15" s="43">
        <f t="shared" si="1"/>
        <v>1</v>
      </c>
      <c r="I15" s="43">
        <f t="shared" si="1"/>
        <v>1</v>
      </c>
      <c r="J15" s="43"/>
      <c r="K15" s="136"/>
      <c r="L15" s="137"/>
      <c r="M15" s="90" t="s">
        <v>232</v>
      </c>
      <c r="N15" s="91"/>
      <c r="O15" s="92"/>
      <c r="P15" s="647"/>
      <c r="U15" s="650" t="s">
        <v>11</v>
      </c>
      <c r="V15" s="650"/>
      <c r="W15" s="650"/>
      <c r="X15" s="650"/>
      <c r="Y15" s="650"/>
      <c r="Z15" s="650"/>
      <c r="AA15" s="650"/>
      <c r="AB15" s="650"/>
      <c r="AC15" s="650"/>
      <c r="AD15" s="650"/>
      <c r="AE15" s="650"/>
      <c r="AF15" s="650"/>
      <c r="AG15" s="650"/>
      <c r="AH15" s="650"/>
      <c r="AI15" s="650"/>
      <c r="AJ15" s="650"/>
      <c r="AK15" s="650"/>
      <c r="AL15" s="650"/>
      <c r="AM15" s="650"/>
      <c r="AP15" s="90" t="s">
        <v>113</v>
      </c>
      <c r="AQ15" s="91" t="s">
        <v>114</v>
      </c>
      <c r="AR15" s="92">
        <v>0</v>
      </c>
      <c r="AS15" s="647"/>
    </row>
    <row r="16" spans="1:45" ht="15" customHeight="1" x14ac:dyDescent="0.3">
      <c r="A16" s="661" t="s">
        <v>11</v>
      </c>
      <c r="B16" s="661"/>
      <c r="C16" s="661"/>
      <c r="D16" s="661"/>
      <c r="E16" s="661"/>
      <c r="F16" s="661"/>
      <c r="G16" s="661"/>
      <c r="H16" s="661"/>
      <c r="I16" s="661"/>
      <c r="J16" s="661"/>
      <c r="U16" s="434" t="s">
        <v>0</v>
      </c>
      <c r="V16" s="143" t="s">
        <v>99</v>
      </c>
      <c r="W16" s="143"/>
      <c r="X16" s="143"/>
      <c r="Y16" s="143"/>
      <c r="Z16" s="143"/>
      <c r="AA16" s="143"/>
      <c r="AB16" s="143"/>
      <c r="AC16" s="143"/>
      <c r="AD16" s="143"/>
      <c r="AE16" s="143"/>
      <c r="AF16" s="143"/>
      <c r="AG16" s="143"/>
      <c r="AH16" s="144">
        <v>60</v>
      </c>
      <c r="AI16" s="651" t="s">
        <v>100</v>
      </c>
      <c r="AJ16" s="651"/>
      <c r="AK16" s="651"/>
      <c r="AL16" s="37">
        <v>40</v>
      </c>
      <c r="AM16" s="652" t="s">
        <v>13</v>
      </c>
    </row>
    <row r="17" spans="1:53" ht="15" customHeight="1" thickBot="1" x14ac:dyDescent="0.35">
      <c r="A17" s="142"/>
      <c r="B17" s="142"/>
      <c r="C17" s="142"/>
      <c r="D17" s="142"/>
      <c r="E17" s="142"/>
      <c r="F17" s="142"/>
      <c r="G17" s="142"/>
      <c r="H17" s="142"/>
      <c r="I17" s="142"/>
      <c r="J17" s="142"/>
      <c r="K17" s="444"/>
      <c r="L17" s="444"/>
      <c r="M17" s="444"/>
      <c r="N17" s="444"/>
      <c r="O17" s="444"/>
      <c r="P17" s="444"/>
      <c r="Q17" s="444"/>
      <c r="R17" s="444"/>
      <c r="S17" s="444"/>
      <c r="U17" s="445"/>
      <c r="V17" s="147" t="s">
        <v>17</v>
      </c>
      <c r="W17" s="147"/>
      <c r="X17" s="147"/>
      <c r="Y17" s="147"/>
      <c r="Z17" s="147"/>
      <c r="AA17" s="680" t="s">
        <v>18</v>
      </c>
      <c r="AB17" s="680"/>
      <c r="AC17" s="680"/>
      <c r="AD17" s="680"/>
      <c r="AE17" s="680"/>
      <c r="AF17" s="680"/>
      <c r="AG17" s="680"/>
      <c r="AH17" s="680"/>
      <c r="AI17" s="655" t="s">
        <v>16</v>
      </c>
      <c r="AJ17" s="656"/>
      <c r="AK17" s="656"/>
      <c r="AL17" s="657"/>
      <c r="AM17" s="653"/>
    </row>
    <row r="18" spans="1:53" ht="27" customHeight="1" thickBot="1" x14ac:dyDescent="0.35">
      <c r="A18" s="699" t="s">
        <v>0</v>
      </c>
      <c r="B18" s="639" t="s">
        <v>99</v>
      </c>
      <c r="C18" s="640"/>
      <c r="D18" s="640"/>
      <c r="E18" s="640"/>
      <c r="F18" s="662"/>
      <c r="G18" s="639" t="s">
        <v>100</v>
      </c>
      <c r="H18" s="640"/>
      <c r="I18" s="640"/>
      <c r="J18" s="641"/>
      <c r="K18" s="652" t="s">
        <v>13</v>
      </c>
      <c r="M18" s="109" t="s">
        <v>174</v>
      </c>
      <c r="N18" s="110" t="s">
        <v>175</v>
      </c>
      <c r="O18" s="111" t="s">
        <v>176</v>
      </c>
      <c r="P18" s="471" t="s">
        <v>177</v>
      </c>
      <c r="Q18" s="110" t="s">
        <v>178</v>
      </c>
      <c r="R18" s="110" t="s">
        <v>179</v>
      </c>
      <c r="U18" s="445"/>
      <c r="V18" s="147"/>
      <c r="W18" s="147"/>
      <c r="X18" s="147"/>
      <c r="Y18" s="147"/>
      <c r="Z18" s="147"/>
      <c r="AA18" s="680"/>
      <c r="AB18" s="680"/>
      <c r="AC18" s="680"/>
      <c r="AD18" s="680"/>
      <c r="AE18" s="680"/>
      <c r="AF18" s="680"/>
      <c r="AG18" s="680"/>
      <c r="AH18" s="680"/>
      <c r="AI18" s="658"/>
      <c r="AJ18" s="659"/>
      <c r="AK18" s="659"/>
      <c r="AL18" s="660"/>
      <c r="AM18" s="653"/>
      <c r="AP18" s="109" t="s">
        <v>174</v>
      </c>
      <c r="AQ18" s="110" t="s">
        <v>175</v>
      </c>
      <c r="AR18" s="111" t="s">
        <v>176</v>
      </c>
      <c r="AS18" s="110" t="s">
        <v>177</v>
      </c>
      <c r="AT18" s="110" t="s">
        <v>178</v>
      </c>
      <c r="AU18" s="110" t="s">
        <v>179</v>
      </c>
    </row>
    <row r="19" spans="1:53" ht="16.5" customHeight="1" thickBot="1" x14ac:dyDescent="0.35">
      <c r="A19" s="700"/>
      <c r="B19" s="701" t="s">
        <v>17</v>
      </c>
      <c r="C19" s="702"/>
      <c r="D19" s="702"/>
      <c r="E19" s="702"/>
      <c r="F19" s="703"/>
      <c r="G19" s="655" t="s">
        <v>16</v>
      </c>
      <c r="H19" s="656"/>
      <c r="I19" s="656"/>
      <c r="J19" s="657"/>
      <c r="K19" s="653"/>
      <c r="M19" s="107">
        <v>1</v>
      </c>
      <c r="N19" s="108" t="s">
        <v>158</v>
      </c>
      <c r="O19" s="505">
        <v>45.93</v>
      </c>
      <c r="P19" s="446">
        <v>41.718518518518522</v>
      </c>
      <c r="Q19" s="470"/>
      <c r="R19" s="437"/>
      <c r="U19" s="435"/>
      <c r="V19" s="145" t="s">
        <v>226</v>
      </c>
      <c r="W19" s="145" t="s">
        <v>227</v>
      </c>
      <c r="X19" s="146" t="s">
        <v>229</v>
      </c>
      <c r="Y19" s="146" t="s">
        <v>31</v>
      </c>
      <c r="Z19" s="146" t="s">
        <v>230</v>
      </c>
      <c r="AA19" s="146"/>
      <c r="AB19" s="146"/>
      <c r="AC19" s="146"/>
      <c r="AD19" s="146"/>
      <c r="AE19" s="146"/>
      <c r="AF19" s="146"/>
      <c r="AG19" s="145" t="s">
        <v>31</v>
      </c>
      <c r="AH19" s="145" t="s">
        <v>12</v>
      </c>
      <c r="AI19" s="429" t="s">
        <v>14</v>
      </c>
      <c r="AJ19" s="88" t="s">
        <v>113</v>
      </c>
      <c r="AK19" s="38"/>
      <c r="AL19" s="38"/>
      <c r="AM19" s="654"/>
      <c r="AP19" s="107">
        <v>1</v>
      </c>
      <c r="AQ19" s="108" t="s">
        <v>158</v>
      </c>
      <c r="AR19" s="108">
        <v>100</v>
      </c>
      <c r="AS19" s="108">
        <v>83.32</v>
      </c>
      <c r="AT19" s="644">
        <v>93.35</v>
      </c>
      <c r="AU19" s="644">
        <v>72.8</v>
      </c>
    </row>
    <row r="20" spans="1:53" ht="16.2" thickBot="1" x14ac:dyDescent="0.35">
      <c r="A20" s="435"/>
      <c r="B20" s="145" t="s">
        <v>226</v>
      </c>
      <c r="C20" s="145" t="s">
        <v>227</v>
      </c>
      <c r="D20" s="145" t="s">
        <v>229</v>
      </c>
      <c r="E20" s="145"/>
      <c r="F20" s="145" t="s">
        <v>230</v>
      </c>
      <c r="G20" s="429" t="s">
        <v>231</v>
      </c>
      <c r="H20" s="88"/>
      <c r="I20" s="88"/>
      <c r="J20" s="38"/>
      <c r="K20" s="654"/>
      <c r="M20" s="107">
        <v>2</v>
      </c>
      <c r="N20" s="108" t="s">
        <v>180</v>
      </c>
      <c r="O20" s="505">
        <v>88.392857142857139</v>
      </c>
      <c r="P20" s="280">
        <v>54.357142857142854</v>
      </c>
      <c r="Q20" s="473">
        <f>AVERAGE(O19:O20:O21)</f>
        <v>78.107619047619053</v>
      </c>
      <c r="R20" s="474">
        <f>AVERAGE(P19:P20:P21)</f>
        <v>55.872610016786723</v>
      </c>
      <c r="U20" s="448" t="str">
        <f t="shared" ref="U20:U24" si="2">U9</f>
        <v>C403.2</v>
      </c>
      <c r="V20" s="39" t="s">
        <v>15</v>
      </c>
      <c r="W20" s="39"/>
      <c r="X20" s="39"/>
      <c r="Y20" s="39"/>
      <c r="Z20" s="39"/>
      <c r="AA20" s="39"/>
      <c r="AB20" s="39"/>
      <c r="AC20" s="39"/>
      <c r="AD20" s="39"/>
      <c r="AE20" s="39"/>
      <c r="AF20" s="39"/>
      <c r="AG20" s="39" t="s">
        <v>15</v>
      </c>
      <c r="AH20" s="39" t="s">
        <v>15</v>
      </c>
      <c r="AI20" s="39" t="s">
        <v>15</v>
      </c>
      <c r="AJ20" s="39"/>
      <c r="AK20" s="39"/>
      <c r="AL20" s="39"/>
      <c r="AM20" s="37">
        <v>100</v>
      </c>
      <c r="AP20" s="107">
        <v>3</v>
      </c>
      <c r="AQ20" s="108" t="s">
        <v>181</v>
      </c>
      <c r="AR20" s="108">
        <v>80.069999999999993</v>
      </c>
      <c r="AS20" s="108">
        <v>40</v>
      </c>
      <c r="AT20" s="645"/>
      <c r="AU20" s="645"/>
    </row>
    <row r="21" spans="1:53" ht="15" customHeight="1" thickBot="1" x14ac:dyDescent="0.35">
      <c r="A21" s="448">
        <v>22224.1</v>
      </c>
      <c r="B21" s="39" t="s">
        <v>15</v>
      </c>
      <c r="C21" s="39"/>
      <c r="D21" s="39" t="s">
        <v>15</v>
      </c>
      <c r="E21" s="39"/>
      <c r="F21" s="39" t="s">
        <v>15</v>
      </c>
      <c r="G21" s="39" t="s">
        <v>15</v>
      </c>
      <c r="H21" s="39"/>
      <c r="I21" s="39"/>
      <c r="J21" s="39"/>
      <c r="K21" s="233">
        <v>100</v>
      </c>
      <c r="M21" s="148">
        <v>3</v>
      </c>
      <c r="N21" s="108" t="s">
        <v>181</v>
      </c>
      <c r="O21" s="108">
        <v>100</v>
      </c>
      <c r="P21" s="472">
        <v>71.5421686746988</v>
      </c>
      <c r="Q21" s="107"/>
      <c r="R21" s="107"/>
      <c r="U21" s="448" t="str">
        <f t="shared" si="2"/>
        <v>C403.3</v>
      </c>
      <c r="V21" s="39" t="s">
        <v>15</v>
      </c>
      <c r="W21" s="39"/>
      <c r="X21" s="39"/>
      <c r="Y21" s="39"/>
      <c r="Z21" s="39"/>
      <c r="AA21" s="39"/>
      <c r="AB21" s="39"/>
      <c r="AC21" s="39"/>
      <c r="AD21" s="39"/>
      <c r="AE21" s="39"/>
      <c r="AF21" s="39"/>
      <c r="AG21" s="39" t="s">
        <v>15</v>
      </c>
      <c r="AH21" s="39" t="s">
        <v>15</v>
      </c>
      <c r="AI21" s="39" t="s">
        <v>15</v>
      </c>
      <c r="AJ21" s="39"/>
      <c r="AK21" s="39"/>
      <c r="AL21" s="39"/>
      <c r="AM21" s="37">
        <v>100</v>
      </c>
    </row>
    <row r="22" spans="1:53" x14ac:dyDescent="0.3">
      <c r="A22" s="448">
        <v>22224.2</v>
      </c>
      <c r="B22" s="39"/>
      <c r="C22" s="39" t="s">
        <v>15</v>
      </c>
      <c r="D22" s="39" t="s">
        <v>15</v>
      </c>
      <c r="E22" s="39"/>
      <c r="F22" s="39" t="s">
        <v>15</v>
      </c>
      <c r="G22" s="39" t="s">
        <v>15</v>
      </c>
      <c r="H22" s="39"/>
      <c r="I22" s="39"/>
      <c r="J22" s="39"/>
      <c r="K22" s="233">
        <v>100</v>
      </c>
      <c r="U22" s="448" t="str">
        <f t="shared" si="2"/>
        <v>C403.4</v>
      </c>
      <c r="V22" s="39"/>
      <c r="W22" s="39" t="s">
        <v>15</v>
      </c>
      <c r="X22" s="39"/>
      <c r="Y22" s="39"/>
      <c r="Z22" s="39"/>
      <c r="AA22" s="39"/>
      <c r="AB22" s="39"/>
      <c r="AC22" s="39"/>
      <c r="AD22" s="39"/>
      <c r="AE22" s="39"/>
      <c r="AF22" s="39"/>
      <c r="AG22" s="39" t="s">
        <v>15</v>
      </c>
      <c r="AH22" s="39" t="s">
        <v>15</v>
      </c>
      <c r="AI22" s="39" t="s">
        <v>15</v>
      </c>
      <c r="AJ22" s="39"/>
      <c r="AK22" s="39"/>
      <c r="AL22" s="39"/>
      <c r="AM22" s="37">
        <v>100</v>
      </c>
      <c r="AO22" s="438"/>
    </row>
    <row r="23" spans="1:53" x14ac:dyDescent="0.3">
      <c r="A23" s="448">
        <v>22224.3</v>
      </c>
      <c r="B23" s="39"/>
      <c r="C23" s="39" t="s">
        <v>15</v>
      </c>
      <c r="D23" s="39" t="s">
        <v>15</v>
      </c>
      <c r="E23" s="39"/>
      <c r="F23" s="39" t="s">
        <v>15</v>
      </c>
      <c r="G23" s="39" t="s">
        <v>15</v>
      </c>
      <c r="H23" s="39"/>
      <c r="I23" s="39"/>
      <c r="J23" s="39"/>
      <c r="K23" s="233">
        <v>100</v>
      </c>
      <c r="U23" s="448" t="str">
        <f t="shared" si="2"/>
        <v>C403.5</v>
      </c>
      <c r="V23" s="39"/>
      <c r="W23" s="39" t="s">
        <v>15</v>
      </c>
      <c r="X23" s="39"/>
      <c r="Y23" s="39"/>
      <c r="Z23" s="39"/>
      <c r="AA23" s="39"/>
      <c r="AB23" s="39"/>
      <c r="AC23" s="39"/>
      <c r="AD23" s="39"/>
      <c r="AE23" s="39"/>
      <c r="AF23" s="39"/>
      <c r="AG23" s="39" t="s">
        <v>15</v>
      </c>
      <c r="AH23" s="39" t="s">
        <v>15</v>
      </c>
      <c r="AI23" s="39" t="s">
        <v>15</v>
      </c>
      <c r="AJ23" s="39"/>
      <c r="AK23" s="39"/>
      <c r="AL23" s="39"/>
      <c r="AM23" s="37">
        <v>100</v>
      </c>
      <c r="AO23" s="438"/>
    </row>
    <row r="24" spans="1:53" x14ac:dyDescent="0.3">
      <c r="A24" s="448">
        <v>22224.400000000001</v>
      </c>
      <c r="B24" s="39"/>
      <c r="C24" s="39" t="s">
        <v>15</v>
      </c>
      <c r="D24" s="39" t="s">
        <v>15</v>
      </c>
      <c r="E24" s="39"/>
      <c r="F24" s="39" t="s">
        <v>15</v>
      </c>
      <c r="G24" s="39" t="s">
        <v>15</v>
      </c>
      <c r="H24" s="39"/>
      <c r="I24" s="39"/>
      <c r="J24" s="39"/>
      <c r="K24" s="233">
        <v>100</v>
      </c>
      <c r="U24" s="448" t="str">
        <f t="shared" si="2"/>
        <v>C403.6</v>
      </c>
      <c r="V24" s="39"/>
      <c r="W24" s="39" t="s">
        <v>15</v>
      </c>
      <c r="X24" s="39"/>
      <c r="Y24" s="39"/>
      <c r="Z24" s="39"/>
      <c r="AA24" s="39"/>
      <c r="AB24" s="39"/>
      <c r="AC24" s="39"/>
      <c r="AD24" s="39"/>
      <c r="AE24" s="39"/>
      <c r="AF24" s="39"/>
      <c r="AG24" s="39" t="s">
        <v>15</v>
      </c>
      <c r="AH24" s="39" t="s">
        <v>15</v>
      </c>
      <c r="AI24" s="39" t="s">
        <v>15</v>
      </c>
      <c r="AJ24" s="39"/>
      <c r="AK24" s="39"/>
      <c r="AL24" s="39"/>
      <c r="AM24" s="37">
        <v>100</v>
      </c>
    </row>
    <row r="25" spans="1:53" x14ac:dyDescent="0.3">
      <c r="A25" s="448">
        <v>22224.5</v>
      </c>
      <c r="B25" s="39" t="s">
        <v>15</v>
      </c>
      <c r="C25" s="39"/>
      <c r="D25" s="39" t="s">
        <v>15</v>
      </c>
      <c r="E25" s="39"/>
      <c r="F25" s="39" t="s">
        <v>15</v>
      </c>
      <c r="G25" s="39" t="s">
        <v>15</v>
      </c>
      <c r="H25" s="39"/>
      <c r="I25" s="39"/>
      <c r="J25" s="39"/>
      <c r="K25" s="233">
        <v>100</v>
      </c>
      <c r="AY25" s="663"/>
      <c r="AZ25" s="663"/>
      <c r="BA25" s="663"/>
    </row>
    <row r="26" spans="1:53" ht="15" customHeight="1" x14ac:dyDescent="0.3">
      <c r="A26" s="448"/>
      <c r="B26" s="39"/>
      <c r="C26" s="39"/>
      <c r="D26" s="39"/>
      <c r="E26" s="39"/>
      <c r="F26" s="39"/>
      <c r="G26" s="39"/>
      <c r="H26" s="39"/>
      <c r="I26" s="39"/>
      <c r="J26" s="39"/>
      <c r="K26" s="233"/>
      <c r="U26" s="679" t="s">
        <v>1</v>
      </c>
      <c r="V26" s="679"/>
      <c r="W26" s="679"/>
      <c r="X26" s="679"/>
      <c r="Y26" s="679"/>
      <c r="Z26" s="679"/>
      <c r="AA26" s="679"/>
      <c r="AB26" s="679"/>
      <c r="AC26" s="679"/>
      <c r="AD26" s="679"/>
      <c r="AE26" s="40"/>
      <c r="AF26" s="685" t="s">
        <v>182</v>
      </c>
      <c r="AG26" s="685"/>
      <c r="AH26" s="685"/>
      <c r="AI26" s="685"/>
      <c r="AJ26" s="685"/>
      <c r="AK26" s="685"/>
      <c r="AL26" s="685"/>
      <c r="AM26" s="685"/>
      <c r="AN26" s="685"/>
      <c r="AO26" s="685"/>
      <c r="AP26" s="685"/>
      <c r="AQ26" s="685"/>
      <c r="AR26" s="685"/>
      <c r="AS26" s="685"/>
      <c r="AT26" s="685"/>
      <c r="AU26" s="685"/>
      <c r="AY26" s="664"/>
      <c r="AZ26" s="664"/>
      <c r="BA26" s="664"/>
    </row>
    <row r="27" spans="1:53" ht="15" customHeight="1" thickBot="1" x14ac:dyDescent="0.35">
      <c r="G27" s="1" t="s">
        <v>341</v>
      </c>
      <c r="U27" s="430" t="s">
        <v>2</v>
      </c>
      <c r="V27" s="42">
        <v>0.4</v>
      </c>
      <c r="W27" s="681" t="s">
        <v>101</v>
      </c>
      <c r="X27" s="681"/>
      <c r="Y27" s="681"/>
      <c r="Z27" s="681"/>
      <c r="AA27" s="681"/>
      <c r="AB27" s="681"/>
      <c r="AC27" s="42">
        <v>0.45</v>
      </c>
      <c r="AD27" s="41" t="s">
        <v>98</v>
      </c>
      <c r="AE27" s="40"/>
      <c r="AF27" s="685"/>
      <c r="AG27" s="685"/>
      <c r="AH27" s="685"/>
      <c r="AI27" s="685"/>
      <c r="AJ27" s="685"/>
      <c r="AK27" s="685"/>
      <c r="AL27" s="685"/>
      <c r="AM27" s="685"/>
      <c r="AN27" s="685"/>
      <c r="AO27" s="685"/>
      <c r="AP27" s="685"/>
      <c r="AQ27" s="685"/>
      <c r="AR27" s="685"/>
      <c r="AS27" s="685"/>
      <c r="AT27" s="685"/>
      <c r="AU27" s="685"/>
      <c r="AY27" s="664"/>
      <c r="AZ27" s="664"/>
      <c r="BA27" s="664"/>
    </row>
    <row r="28" spans="1:53" ht="20.25" customHeight="1" thickBot="1" x14ac:dyDescent="0.35">
      <c r="A28" s="679" t="s">
        <v>1</v>
      </c>
      <c r="B28" s="679"/>
      <c r="C28" s="679"/>
      <c r="D28" s="679"/>
      <c r="E28" s="679"/>
      <c r="F28" s="679"/>
      <c r="G28" s="679"/>
      <c r="H28" s="679"/>
      <c r="I28" s="679"/>
      <c r="J28" s="679"/>
      <c r="L28" s="357" t="s">
        <v>356</v>
      </c>
      <c r="M28" s="357"/>
      <c r="N28" s="357"/>
      <c r="O28" s="357"/>
      <c r="P28" s="357"/>
      <c r="Q28" s="357"/>
      <c r="R28" s="357"/>
      <c r="S28" s="357"/>
      <c r="T28" s="357"/>
      <c r="U28" s="430" t="s">
        <v>3</v>
      </c>
      <c r="V28" s="42">
        <v>0.5</v>
      </c>
      <c r="W28" s="695" t="s">
        <v>102</v>
      </c>
      <c r="X28" s="695"/>
      <c r="Y28" s="695"/>
      <c r="Z28" s="695"/>
      <c r="AA28" s="695"/>
      <c r="AB28" s="695"/>
      <c r="AC28" s="42">
        <v>0.45</v>
      </c>
      <c r="AD28" s="41" t="s">
        <v>98</v>
      </c>
      <c r="AE28" s="40"/>
      <c r="AF28" s="686" t="s">
        <v>183</v>
      </c>
      <c r="AG28" s="687"/>
      <c r="AH28" s="687"/>
      <c r="AI28" s="687"/>
      <c r="AJ28" s="687"/>
      <c r="AK28" s="687"/>
      <c r="AL28" s="687"/>
      <c r="AM28" s="687"/>
      <c r="AN28" s="687"/>
      <c r="AO28" s="687"/>
      <c r="AP28" s="687"/>
      <c r="AQ28" s="687"/>
      <c r="AR28" s="687"/>
      <c r="AS28" s="687"/>
      <c r="AT28" s="687"/>
      <c r="AU28" s="688"/>
      <c r="AY28" s="668"/>
      <c r="AZ28" s="668"/>
      <c r="BA28" s="668"/>
    </row>
    <row r="29" spans="1:53" x14ac:dyDescent="0.3">
      <c r="A29" s="430" t="s">
        <v>2</v>
      </c>
      <c r="B29" s="42">
        <v>0.4</v>
      </c>
      <c r="C29" s="681" t="s">
        <v>101</v>
      </c>
      <c r="D29" s="681"/>
      <c r="E29" s="681"/>
      <c r="F29" s="681"/>
      <c r="G29" s="681"/>
      <c r="H29" s="681"/>
      <c r="I29" s="42">
        <v>0.5</v>
      </c>
      <c r="J29" s="41" t="s">
        <v>98</v>
      </c>
      <c r="L29" s="356"/>
      <c r="M29" s="356"/>
      <c r="N29" s="356"/>
      <c r="O29" s="356"/>
      <c r="P29" s="356"/>
      <c r="Q29" s="356"/>
      <c r="R29" s="356"/>
      <c r="U29" s="430" t="s">
        <v>4</v>
      </c>
      <c r="V29" s="42">
        <v>0.6</v>
      </c>
      <c r="W29" s="695" t="s">
        <v>102</v>
      </c>
      <c r="X29" s="695"/>
      <c r="Y29" s="695"/>
      <c r="Z29" s="695"/>
      <c r="AA29" s="695"/>
      <c r="AB29" s="695"/>
      <c r="AC29" s="42">
        <v>0.45</v>
      </c>
      <c r="AD29" s="41" t="s">
        <v>98</v>
      </c>
      <c r="AE29" s="40"/>
      <c r="AF29" s="689"/>
      <c r="AG29" s="690"/>
      <c r="AH29" s="690"/>
      <c r="AI29" s="690"/>
      <c r="AJ29" s="690"/>
      <c r="AK29" s="690"/>
      <c r="AL29" s="690"/>
      <c r="AM29" s="690"/>
      <c r="AN29" s="690"/>
      <c r="AO29" s="690"/>
      <c r="AP29" s="690"/>
      <c r="AQ29" s="690"/>
      <c r="AR29" s="690"/>
      <c r="AS29" s="690"/>
      <c r="AT29" s="690"/>
      <c r="AU29" s="691"/>
      <c r="AY29" s="665"/>
      <c r="AZ29" s="666"/>
      <c r="BA29" s="667"/>
    </row>
    <row r="30" spans="1:53" x14ac:dyDescent="0.3">
      <c r="A30" s="430" t="s">
        <v>3</v>
      </c>
      <c r="B30" s="42">
        <v>0.5</v>
      </c>
      <c r="C30" s="695" t="s">
        <v>102</v>
      </c>
      <c r="D30" s="695"/>
      <c r="E30" s="695"/>
      <c r="F30" s="695"/>
      <c r="G30" s="695"/>
      <c r="H30" s="695"/>
      <c r="I30" s="42">
        <v>0.5</v>
      </c>
      <c r="J30" s="41" t="s">
        <v>98</v>
      </c>
      <c r="L30" s="356"/>
      <c r="M30" s="356"/>
      <c r="N30" s="356"/>
      <c r="O30" s="356"/>
      <c r="P30" s="356"/>
      <c r="Q30" s="356"/>
      <c r="R30" s="356"/>
      <c r="U30" s="40"/>
      <c r="V30" s="40"/>
      <c r="W30" s="694"/>
      <c r="X30" s="694"/>
      <c r="Y30" s="694"/>
      <c r="Z30" s="694"/>
      <c r="AA30" s="694"/>
      <c r="AB30" s="694"/>
      <c r="AC30" s="40"/>
      <c r="AD30" s="40"/>
      <c r="AE30" s="40"/>
      <c r="AF30" s="40"/>
      <c r="AH30" s="696"/>
      <c r="AI30" s="696"/>
      <c r="AJ30" s="693"/>
      <c r="AK30" s="693"/>
      <c r="AL30" s="693"/>
      <c r="AM30" s="5"/>
      <c r="AP30" s="78"/>
    </row>
    <row r="31" spans="1:53" x14ac:dyDescent="0.3">
      <c r="A31" s="430" t="s">
        <v>4</v>
      </c>
      <c r="B31" s="42">
        <v>0.6</v>
      </c>
      <c r="C31" s="695" t="s">
        <v>102</v>
      </c>
      <c r="D31" s="695"/>
      <c r="E31" s="695"/>
      <c r="F31" s="695"/>
      <c r="G31" s="695"/>
      <c r="H31" s="695"/>
      <c r="I31" s="42">
        <v>0.5</v>
      </c>
      <c r="J31" s="41" t="s">
        <v>98</v>
      </c>
      <c r="L31" s="356"/>
      <c r="M31" s="356"/>
      <c r="N31" s="356"/>
      <c r="O31" s="356"/>
      <c r="P31" s="356"/>
      <c r="Q31" s="356"/>
      <c r="R31" s="356"/>
      <c r="U31" s="692"/>
      <c r="V31" s="692"/>
      <c r="W31" s="692"/>
    </row>
    <row r="32" spans="1:53" x14ac:dyDescent="0.3">
      <c r="U32" s="445" t="s">
        <v>0</v>
      </c>
      <c r="V32" s="431" t="s">
        <v>26</v>
      </c>
      <c r="W32" s="447"/>
      <c r="X32" s="447"/>
      <c r="Y32" s="447"/>
      <c r="Z32" s="447"/>
      <c r="AA32" s="447"/>
      <c r="AB32" s="447"/>
      <c r="AC32" s="447"/>
      <c r="AD32" s="447"/>
      <c r="AE32" s="447"/>
      <c r="AF32" s="447"/>
      <c r="AG32" s="447"/>
      <c r="AH32" s="447"/>
      <c r="AI32" s="447"/>
      <c r="AJ32" s="447"/>
      <c r="AK32" s="432"/>
      <c r="AL32" s="639" t="s">
        <v>103</v>
      </c>
      <c r="AM32" s="662"/>
    </row>
    <row r="33" spans="1:43" ht="24" customHeight="1" x14ac:dyDescent="0.3">
      <c r="A33" s="445" t="s">
        <v>235</v>
      </c>
      <c r="B33" s="651" t="s">
        <v>236</v>
      </c>
      <c r="C33" s="651"/>
      <c r="D33" s="651"/>
      <c r="E33" s="651"/>
      <c r="F33" s="651"/>
      <c r="G33" s="651"/>
      <c r="H33" s="651"/>
      <c r="I33" s="651" t="s">
        <v>103</v>
      </c>
      <c r="J33" s="651"/>
      <c r="U33" s="448" t="e">
        <f>#REF!</f>
        <v>#REF!</v>
      </c>
      <c r="V33" s="426" t="s">
        <v>163</v>
      </c>
      <c r="W33" s="427"/>
      <c r="X33" s="427"/>
      <c r="Y33" s="427"/>
      <c r="Z33" s="427"/>
      <c r="AA33" s="427"/>
      <c r="AB33" s="427"/>
      <c r="AC33" s="427"/>
      <c r="AD33" s="427"/>
      <c r="AE33" s="427"/>
      <c r="AF33" s="427"/>
      <c r="AG33" s="427"/>
      <c r="AH33" s="427"/>
      <c r="AI33" s="427"/>
      <c r="AJ33" s="427"/>
      <c r="AK33" s="428"/>
      <c r="AL33" s="697" t="s">
        <v>104</v>
      </c>
      <c r="AM33" s="698"/>
    </row>
    <row r="34" spans="1:43" ht="30" customHeight="1" x14ac:dyDescent="0.3">
      <c r="A34" s="448">
        <v>22224.1</v>
      </c>
      <c r="B34" s="704" t="s">
        <v>386</v>
      </c>
      <c r="C34" s="704"/>
      <c r="D34" s="704"/>
      <c r="E34" s="704"/>
      <c r="F34" s="704"/>
      <c r="G34" s="704"/>
      <c r="H34" s="704"/>
      <c r="I34" s="704" t="s">
        <v>357</v>
      </c>
      <c r="J34" s="704"/>
      <c r="U34" s="448" t="str">
        <f>U20</f>
        <v>C403.2</v>
      </c>
      <c r="V34" s="426" t="s">
        <v>164</v>
      </c>
      <c r="W34" s="427"/>
      <c r="X34" s="427"/>
      <c r="Y34" s="427"/>
      <c r="Z34" s="427"/>
      <c r="AA34" s="427"/>
      <c r="AB34" s="427"/>
      <c r="AC34" s="427"/>
      <c r="AD34" s="427"/>
      <c r="AE34" s="427"/>
      <c r="AF34" s="427"/>
      <c r="AG34" s="427"/>
      <c r="AH34" s="427"/>
      <c r="AI34" s="427"/>
      <c r="AJ34" s="427"/>
      <c r="AK34" s="428"/>
      <c r="AL34" s="669" t="s">
        <v>186</v>
      </c>
      <c r="AM34" s="670"/>
    </row>
    <row r="35" spans="1:43" ht="31.5" customHeight="1" x14ac:dyDescent="0.3">
      <c r="A35" s="448">
        <v>22224.2</v>
      </c>
      <c r="B35" s="704" t="s">
        <v>387</v>
      </c>
      <c r="C35" s="704"/>
      <c r="D35" s="704"/>
      <c r="E35" s="704"/>
      <c r="F35" s="704"/>
      <c r="G35" s="704"/>
      <c r="H35" s="704"/>
      <c r="I35" s="704" t="s">
        <v>357</v>
      </c>
      <c r="J35" s="704"/>
      <c r="L35" s="578"/>
      <c r="M35" s="579"/>
      <c r="N35" s="579"/>
      <c r="O35" s="579"/>
      <c r="P35" s="579"/>
      <c r="Q35" s="579"/>
      <c r="R35" s="579"/>
      <c r="S35" s="579"/>
      <c r="U35" s="448" t="str">
        <f>U21</f>
        <v>C403.3</v>
      </c>
      <c r="V35" s="426" t="s">
        <v>165</v>
      </c>
      <c r="W35" s="427"/>
      <c r="X35" s="427"/>
      <c r="Y35" s="427"/>
      <c r="Z35" s="427"/>
      <c r="AA35" s="427"/>
      <c r="AB35" s="427"/>
      <c r="AC35" s="427"/>
      <c r="AD35" s="427"/>
      <c r="AE35" s="427"/>
      <c r="AF35" s="427"/>
      <c r="AG35" s="427"/>
      <c r="AH35" s="427"/>
      <c r="AI35" s="427"/>
      <c r="AJ35" s="427"/>
      <c r="AK35" s="428"/>
      <c r="AL35" s="669" t="s">
        <v>186</v>
      </c>
      <c r="AM35" s="670"/>
    </row>
    <row r="36" spans="1:43" ht="39" customHeight="1" x14ac:dyDescent="0.3">
      <c r="A36" s="448">
        <v>22224.3</v>
      </c>
      <c r="B36" s="704" t="s">
        <v>388</v>
      </c>
      <c r="C36" s="704"/>
      <c r="D36" s="704"/>
      <c r="E36" s="704"/>
      <c r="F36" s="704"/>
      <c r="G36" s="704"/>
      <c r="H36" s="704"/>
      <c r="I36" s="704" t="s">
        <v>357</v>
      </c>
      <c r="J36" s="704"/>
      <c r="U36" s="448" t="str">
        <f>U22</f>
        <v>C403.4</v>
      </c>
      <c r="V36" s="426" t="s">
        <v>166</v>
      </c>
      <c r="W36" s="427"/>
      <c r="X36" s="427"/>
      <c r="Y36" s="427"/>
      <c r="Z36" s="427"/>
      <c r="AA36" s="427"/>
      <c r="AB36" s="427"/>
      <c r="AC36" s="427"/>
      <c r="AD36" s="427"/>
      <c r="AE36" s="427"/>
      <c r="AF36" s="427"/>
      <c r="AG36" s="427"/>
      <c r="AH36" s="427"/>
      <c r="AI36" s="427"/>
      <c r="AJ36" s="427"/>
      <c r="AK36" s="428"/>
      <c r="AL36" s="669" t="s">
        <v>186</v>
      </c>
      <c r="AM36" s="670"/>
    </row>
    <row r="37" spans="1:43" ht="38.25" customHeight="1" x14ac:dyDescent="0.3">
      <c r="A37" s="448">
        <v>22224.400000000001</v>
      </c>
      <c r="B37" s="704" t="s">
        <v>389</v>
      </c>
      <c r="C37" s="704"/>
      <c r="D37" s="704"/>
      <c r="E37" s="704"/>
      <c r="F37" s="704"/>
      <c r="G37" s="704"/>
      <c r="H37" s="704"/>
      <c r="I37" s="704" t="s">
        <v>357</v>
      </c>
      <c r="J37" s="704"/>
      <c r="U37" s="448" t="str">
        <f>U23</f>
        <v>C403.5</v>
      </c>
      <c r="V37" s="426" t="s">
        <v>167</v>
      </c>
      <c r="W37" s="427"/>
      <c r="X37" s="427"/>
      <c r="Y37" s="427"/>
      <c r="Z37" s="427"/>
      <c r="AA37" s="427"/>
      <c r="AB37" s="427"/>
      <c r="AC37" s="427"/>
      <c r="AD37" s="427"/>
      <c r="AE37" s="427"/>
      <c r="AF37" s="427"/>
      <c r="AG37" s="427"/>
      <c r="AH37" s="427"/>
      <c r="AI37" s="427"/>
      <c r="AJ37" s="427"/>
      <c r="AK37" s="428"/>
      <c r="AL37" s="669" t="s">
        <v>186</v>
      </c>
      <c r="AM37" s="670"/>
    </row>
    <row r="38" spans="1:43" ht="30.75" customHeight="1" x14ac:dyDescent="0.3">
      <c r="A38" s="448">
        <v>22224.5</v>
      </c>
      <c r="B38" s="704" t="s">
        <v>390</v>
      </c>
      <c r="C38" s="704"/>
      <c r="D38" s="704"/>
      <c r="E38" s="704"/>
      <c r="F38" s="704"/>
      <c r="G38" s="704"/>
      <c r="H38" s="704"/>
      <c r="I38" s="704" t="s">
        <v>357</v>
      </c>
      <c r="J38" s="704"/>
      <c r="U38" s="448" t="s">
        <v>159</v>
      </c>
      <c r="V38" s="426" t="s">
        <v>162</v>
      </c>
      <c r="W38" s="427"/>
      <c r="X38" s="427"/>
      <c r="Y38" s="427"/>
      <c r="Z38" s="427"/>
      <c r="AA38" s="427"/>
      <c r="AB38" s="427"/>
      <c r="AC38" s="427"/>
      <c r="AD38" s="427"/>
      <c r="AE38" s="427"/>
      <c r="AF38" s="427"/>
      <c r="AG38" s="427"/>
      <c r="AH38" s="427"/>
      <c r="AI38" s="427"/>
      <c r="AJ38" s="427"/>
      <c r="AK38" s="428"/>
      <c r="AL38" s="669" t="s">
        <v>186</v>
      </c>
      <c r="AM38" s="670"/>
    </row>
    <row r="39" spans="1:43" ht="27" customHeight="1" x14ac:dyDescent="0.3">
      <c r="A39" s="511"/>
      <c r="B39" s="706"/>
      <c r="C39" s="706"/>
      <c r="D39" s="706"/>
      <c r="E39" s="706"/>
      <c r="F39" s="706"/>
      <c r="G39" s="706"/>
      <c r="H39" s="706"/>
      <c r="I39" s="707"/>
      <c r="J39" s="708"/>
      <c r="U39" s="433"/>
      <c r="V39" s="112"/>
      <c r="W39" s="112"/>
      <c r="X39" s="112"/>
      <c r="Y39" s="112"/>
      <c r="Z39" s="112"/>
      <c r="AA39" s="149"/>
      <c r="AB39" s="112"/>
      <c r="AC39" s="112"/>
      <c r="AD39" s="112"/>
      <c r="AE39" s="112"/>
      <c r="AF39" s="112"/>
      <c r="AG39" s="112"/>
      <c r="AH39" s="112"/>
      <c r="AI39" s="112"/>
      <c r="AJ39" s="112"/>
      <c r="AK39" s="112"/>
      <c r="AL39" s="113"/>
      <c r="AM39" s="114"/>
    </row>
    <row r="40" spans="1:43" ht="15.6" customHeight="1" x14ac:dyDescent="0.3">
      <c r="A40" s="705"/>
      <c r="B40" s="705"/>
      <c r="C40" s="705"/>
      <c r="D40" s="705"/>
      <c r="E40" s="705"/>
      <c r="F40" s="705"/>
      <c r="G40" s="705"/>
      <c r="H40" s="705"/>
      <c r="I40" s="705"/>
      <c r="J40" s="705"/>
    </row>
    <row r="42" spans="1:43" ht="15.6" x14ac:dyDescent="0.3">
      <c r="A42" s="65"/>
      <c r="D42" s="65"/>
      <c r="H42" s="65"/>
    </row>
    <row r="45" spans="1:43" ht="15.6" x14ac:dyDescent="0.3">
      <c r="U45" s="65" t="s">
        <v>184</v>
      </c>
      <c r="V45"/>
      <c r="W45"/>
      <c r="AA45"/>
      <c r="AB45"/>
      <c r="AC45"/>
      <c r="AF45" s="65" t="s">
        <v>185</v>
      </c>
      <c r="AQ45" s="65" t="s">
        <v>173</v>
      </c>
    </row>
  </sheetData>
  <mergeCells count="76">
    <mergeCell ref="A40:J40"/>
    <mergeCell ref="B38:H38"/>
    <mergeCell ref="B39:H39"/>
    <mergeCell ref="I39:J39"/>
    <mergeCell ref="A28:J28"/>
    <mergeCell ref="C29:H29"/>
    <mergeCell ref="B37:H37"/>
    <mergeCell ref="I34:J34"/>
    <mergeCell ref="I35:J35"/>
    <mergeCell ref="I36:J36"/>
    <mergeCell ref="I37:J37"/>
    <mergeCell ref="I38:J38"/>
    <mergeCell ref="P14:P15"/>
    <mergeCell ref="B34:H34"/>
    <mergeCell ref="C30:H30"/>
    <mergeCell ref="C31:H31"/>
    <mergeCell ref="I33:J33"/>
    <mergeCell ref="B33:H33"/>
    <mergeCell ref="A18:A19"/>
    <mergeCell ref="B19:F19"/>
    <mergeCell ref="L35:S35"/>
    <mergeCell ref="B35:H35"/>
    <mergeCell ref="B36:H36"/>
    <mergeCell ref="P9:P13"/>
    <mergeCell ref="AL38:AM38"/>
    <mergeCell ref="AF26:AU27"/>
    <mergeCell ref="AF28:AU29"/>
    <mergeCell ref="AS9:AS12"/>
    <mergeCell ref="U31:W31"/>
    <mergeCell ref="AJ30:AL30"/>
    <mergeCell ref="W30:AB30"/>
    <mergeCell ref="AT19:AT20"/>
    <mergeCell ref="W28:AB28"/>
    <mergeCell ref="W29:AB29"/>
    <mergeCell ref="AH30:AI30"/>
    <mergeCell ref="AL33:AM33"/>
    <mergeCell ref="AL34:AM34"/>
    <mergeCell ref="AL36:AM36"/>
    <mergeCell ref="AL37:AM37"/>
    <mergeCell ref="AL35:AM35"/>
    <mergeCell ref="AL32:AM32"/>
    <mergeCell ref="U1:AM1"/>
    <mergeCell ref="U2:AM2"/>
    <mergeCell ref="V3:AA3"/>
    <mergeCell ref="AB3:AC3"/>
    <mergeCell ref="AD3:AF3"/>
    <mergeCell ref="AG3:AH3"/>
    <mergeCell ref="AI3:AM3"/>
    <mergeCell ref="U5:AM5"/>
    <mergeCell ref="AB4:AC4"/>
    <mergeCell ref="V4:AA4"/>
    <mergeCell ref="AD4:AM4"/>
    <mergeCell ref="U26:AD26"/>
    <mergeCell ref="AA17:AH18"/>
    <mergeCell ref="W27:AB27"/>
    <mergeCell ref="AY25:BA25"/>
    <mergeCell ref="AY26:BA26"/>
    <mergeCell ref="AY27:BA27"/>
    <mergeCell ref="AY29:BA29"/>
    <mergeCell ref="AY28:BA28"/>
    <mergeCell ref="A1:J1"/>
    <mergeCell ref="B7:H7"/>
    <mergeCell ref="G18:J18"/>
    <mergeCell ref="M6:P6"/>
    <mergeCell ref="AU19:AU20"/>
    <mergeCell ref="AS14:AS15"/>
    <mergeCell ref="AL14:AN14"/>
    <mergeCell ref="U15:AM15"/>
    <mergeCell ref="AI16:AK16"/>
    <mergeCell ref="AM16:AM19"/>
    <mergeCell ref="AI17:AL18"/>
    <mergeCell ref="A5:J5"/>
    <mergeCell ref="A16:J16"/>
    <mergeCell ref="K18:K20"/>
    <mergeCell ref="G19:J19"/>
    <mergeCell ref="B18:F18"/>
  </mergeCells>
  <pageMargins left="0.35" right="0.21" top="0.27" bottom="0.2" header="0.3" footer="0.3"/>
  <pageSetup paperSize="9" scale="68"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2:E38"/>
  <sheetViews>
    <sheetView zoomScaleNormal="100" workbookViewId="0">
      <selection activeCell="C62" sqref="C62"/>
    </sheetView>
  </sheetViews>
  <sheetFormatPr defaultColWidth="9.109375" defaultRowHeight="14.4" x14ac:dyDescent="0.3"/>
  <cols>
    <col min="1" max="1" width="12.5546875" customWidth="1"/>
    <col min="2" max="2" width="40.88671875" customWidth="1"/>
    <col min="3" max="3" width="39.33203125" customWidth="1"/>
    <col min="4" max="4" width="37" customWidth="1"/>
    <col min="5" max="5" width="36.44140625" customWidth="1"/>
  </cols>
  <sheetData>
    <row r="2" spans="1:5" ht="17.399999999999999" x14ac:dyDescent="0.3">
      <c r="A2" s="709" t="s">
        <v>191</v>
      </c>
      <c r="B2" s="709"/>
      <c r="C2" s="709"/>
      <c r="D2" s="709"/>
      <c r="E2" s="709"/>
    </row>
    <row r="3" spans="1:5" ht="15" thickBot="1" x14ac:dyDescent="0.35"/>
    <row r="4" spans="1:5" ht="15" thickBot="1" x14ac:dyDescent="0.35">
      <c r="A4" s="710" t="s">
        <v>55</v>
      </c>
      <c r="B4" s="712" t="s">
        <v>56</v>
      </c>
      <c r="C4" s="713"/>
      <c r="D4" s="713"/>
      <c r="E4" s="714"/>
    </row>
    <row r="5" spans="1:5" ht="15" thickBot="1" x14ac:dyDescent="0.35">
      <c r="A5" s="711"/>
      <c r="B5" s="22" t="s">
        <v>197</v>
      </c>
      <c r="C5" s="22" t="s">
        <v>196</v>
      </c>
      <c r="D5" s="22" t="s">
        <v>195</v>
      </c>
      <c r="E5" s="22" t="s">
        <v>194</v>
      </c>
    </row>
    <row r="6" spans="1:5" ht="27.6" x14ac:dyDescent="0.3">
      <c r="A6" s="23" t="s">
        <v>57</v>
      </c>
      <c r="B6" s="24" t="s">
        <v>131</v>
      </c>
      <c r="C6" s="25" t="s">
        <v>133</v>
      </c>
      <c r="D6" s="24" t="s">
        <v>58</v>
      </c>
      <c r="E6" s="25" t="s">
        <v>59</v>
      </c>
    </row>
    <row r="7" spans="1:5" ht="27.6" x14ac:dyDescent="0.3">
      <c r="A7" s="23" t="s">
        <v>193</v>
      </c>
      <c r="B7" s="24" t="s">
        <v>132</v>
      </c>
      <c r="C7" s="25" t="s">
        <v>134</v>
      </c>
      <c r="D7" s="24" t="s">
        <v>61</v>
      </c>
      <c r="E7" s="24" t="s">
        <v>135</v>
      </c>
    </row>
    <row r="8" spans="1:5" ht="42" thickBot="1" x14ac:dyDescent="0.35">
      <c r="A8" s="26"/>
      <c r="B8" s="24" t="s">
        <v>62</v>
      </c>
      <c r="C8" s="24" t="s">
        <v>63</v>
      </c>
      <c r="D8" s="116"/>
      <c r="E8" s="24" t="s">
        <v>64</v>
      </c>
    </row>
    <row r="9" spans="1:5" ht="15" thickBot="1" x14ac:dyDescent="0.35">
      <c r="A9" s="117"/>
      <c r="B9" s="120" t="s">
        <v>198</v>
      </c>
      <c r="C9" s="121" t="s">
        <v>199</v>
      </c>
      <c r="D9" s="121" t="s">
        <v>200</v>
      </c>
      <c r="E9" s="122" t="s">
        <v>201</v>
      </c>
    </row>
    <row r="10" spans="1:5" ht="27.6" x14ac:dyDescent="0.3">
      <c r="A10" s="23" t="s">
        <v>192</v>
      </c>
      <c r="B10" s="24" t="s">
        <v>65</v>
      </c>
      <c r="C10" s="24" t="s">
        <v>66</v>
      </c>
      <c r="D10" s="24" t="s">
        <v>67</v>
      </c>
      <c r="E10" s="24" t="s">
        <v>68</v>
      </c>
    </row>
    <row r="11" spans="1:5" ht="27.6" x14ac:dyDescent="0.3">
      <c r="A11" s="23" t="s">
        <v>60</v>
      </c>
      <c r="B11" s="24" t="s">
        <v>69</v>
      </c>
      <c r="C11" s="24" t="s">
        <v>70</v>
      </c>
      <c r="D11" s="24" t="s">
        <v>71</v>
      </c>
      <c r="E11" s="24" t="s">
        <v>72</v>
      </c>
    </row>
    <row r="12" spans="1:5" ht="28.2" thickBot="1" x14ac:dyDescent="0.35">
      <c r="A12" s="26"/>
      <c r="B12" s="28"/>
      <c r="C12" s="27" t="s">
        <v>73</v>
      </c>
      <c r="D12" s="28"/>
      <c r="E12" s="27" t="s">
        <v>74</v>
      </c>
    </row>
    <row r="14" spans="1:5" ht="18.600000000000001" thickBot="1" x14ac:dyDescent="0.4">
      <c r="A14" s="715" t="s">
        <v>91</v>
      </c>
      <c r="B14" s="715"/>
      <c r="C14" s="715"/>
      <c r="D14" s="715"/>
      <c r="E14" s="715"/>
    </row>
    <row r="15" spans="1:5" ht="15" thickBot="1" x14ac:dyDescent="0.35">
      <c r="A15" s="716" t="s">
        <v>76</v>
      </c>
      <c r="B15" s="716" t="s">
        <v>77</v>
      </c>
      <c r="C15" s="718" t="s">
        <v>78</v>
      </c>
      <c r="D15" s="719"/>
      <c r="E15" s="720"/>
    </row>
    <row r="16" spans="1:5" ht="15" thickBot="1" x14ac:dyDescent="0.35">
      <c r="A16" s="717"/>
      <c r="B16" s="717"/>
      <c r="C16" s="29" t="s">
        <v>79</v>
      </c>
      <c r="D16" s="30" t="s">
        <v>80</v>
      </c>
      <c r="E16" s="29" t="s">
        <v>169</v>
      </c>
    </row>
    <row r="17" spans="1:5" ht="83.4" thickBot="1" x14ac:dyDescent="0.35">
      <c r="A17" s="29">
        <v>1</v>
      </c>
      <c r="B17" s="46" t="s">
        <v>127</v>
      </c>
      <c r="C17" s="46" t="s">
        <v>128</v>
      </c>
      <c r="D17" s="46" t="s">
        <v>129</v>
      </c>
      <c r="E17" s="46" t="s">
        <v>130</v>
      </c>
    </row>
    <row r="18" spans="1:5" x14ac:dyDescent="0.3">
      <c r="A18" s="118"/>
      <c r="B18" s="119"/>
      <c r="C18" s="119"/>
      <c r="D18" s="119"/>
      <c r="E18" s="119"/>
    </row>
    <row r="19" spans="1:5" x14ac:dyDescent="0.3">
      <c r="A19" s="118"/>
      <c r="B19" s="119"/>
      <c r="C19" s="119"/>
      <c r="D19" s="119"/>
      <c r="E19" s="119"/>
    </row>
    <row r="20" spans="1:5" ht="18.600000000000001" thickBot="1" x14ac:dyDescent="0.4">
      <c r="A20" s="715" t="s">
        <v>202</v>
      </c>
      <c r="B20" s="715"/>
      <c r="C20" s="715"/>
      <c r="D20" s="715"/>
      <c r="E20" s="715"/>
    </row>
    <row r="21" spans="1:5" ht="15" thickBot="1" x14ac:dyDescent="0.35">
      <c r="A21" s="716" t="s">
        <v>76</v>
      </c>
      <c r="B21" s="716" t="s">
        <v>77</v>
      </c>
      <c r="C21" s="718" t="s">
        <v>78</v>
      </c>
      <c r="D21" s="719"/>
      <c r="E21" s="720"/>
    </row>
    <row r="22" spans="1:5" ht="15" thickBot="1" x14ac:dyDescent="0.35">
      <c r="A22" s="717"/>
      <c r="B22" s="717"/>
      <c r="C22" s="29" t="s">
        <v>79</v>
      </c>
      <c r="D22" s="30" t="s">
        <v>80</v>
      </c>
      <c r="E22" s="29" t="s">
        <v>169</v>
      </c>
    </row>
    <row r="23" spans="1:5" ht="69.599999999999994" thickBot="1" x14ac:dyDescent="0.35">
      <c r="A23" s="29">
        <v>1</v>
      </c>
      <c r="B23" s="46" t="s">
        <v>203</v>
      </c>
      <c r="C23" s="46" t="s">
        <v>204</v>
      </c>
      <c r="D23" s="46" t="s">
        <v>205</v>
      </c>
      <c r="E23" s="46" t="s">
        <v>206</v>
      </c>
    </row>
    <row r="24" spans="1:5" x14ac:dyDescent="0.3">
      <c r="A24" s="118"/>
      <c r="B24" s="119"/>
      <c r="C24" s="119"/>
      <c r="D24" s="119"/>
      <c r="E24" s="119"/>
    </row>
    <row r="25" spans="1:5" ht="18" x14ac:dyDescent="0.35">
      <c r="A25" s="715" t="s">
        <v>75</v>
      </c>
      <c r="B25" s="715"/>
      <c r="C25" s="715"/>
      <c r="D25" s="715"/>
      <c r="E25" s="715"/>
    </row>
    <row r="26" spans="1:5" ht="15" thickBot="1" x14ac:dyDescent="0.35"/>
    <row r="27" spans="1:5" ht="15" thickBot="1" x14ac:dyDescent="0.35">
      <c r="A27" s="716" t="s">
        <v>76</v>
      </c>
      <c r="B27" s="716" t="s">
        <v>77</v>
      </c>
      <c r="C27" s="718" t="s">
        <v>78</v>
      </c>
      <c r="D27" s="719"/>
      <c r="E27" s="719"/>
    </row>
    <row r="28" spans="1:5" ht="15" thickBot="1" x14ac:dyDescent="0.35">
      <c r="A28" s="717"/>
      <c r="B28" s="717"/>
      <c r="C28" s="29" t="s">
        <v>79</v>
      </c>
      <c r="D28" s="30" t="s">
        <v>80</v>
      </c>
      <c r="E28" s="30" t="s">
        <v>169</v>
      </c>
    </row>
    <row r="29" spans="1:5" ht="42" thickBot="1" x14ac:dyDescent="0.35">
      <c r="A29" s="31">
        <v>1</v>
      </c>
      <c r="B29" s="31" t="s">
        <v>81</v>
      </c>
      <c r="C29" s="44" t="s">
        <v>94</v>
      </c>
      <c r="D29" s="44" t="s">
        <v>82</v>
      </c>
      <c r="E29" s="45" t="s">
        <v>83</v>
      </c>
    </row>
    <row r="30" spans="1:5" ht="69.599999999999994" thickBot="1" x14ac:dyDescent="0.35">
      <c r="A30" s="29">
        <v>2</v>
      </c>
      <c r="B30" s="29" t="s">
        <v>84</v>
      </c>
      <c r="C30" s="45" t="s">
        <v>85</v>
      </c>
      <c r="D30" s="45" t="s">
        <v>86</v>
      </c>
      <c r="E30" s="45" t="s">
        <v>87</v>
      </c>
    </row>
    <row r="31" spans="1:5" ht="42" thickBot="1" x14ac:dyDescent="0.35">
      <c r="A31" s="32">
        <v>3</v>
      </c>
      <c r="B31" s="32" t="s">
        <v>88</v>
      </c>
      <c r="C31" s="46" t="s">
        <v>89</v>
      </c>
      <c r="D31" s="46" t="s">
        <v>93</v>
      </c>
      <c r="E31" s="46" t="s">
        <v>90</v>
      </c>
    </row>
    <row r="33" spans="1:5" ht="18.600000000000001" thickBot="1" x14ac:dyDescent="0.4">
      <c r="A33" s="715" t="s">
        <v>145</v>
      </c>
      <c r="B33" s="715"/>
      <c r="C33" s="715"/>
      <c r="D33" s="715"/>
      <c r="E33" s="715"/>
    </row>
    <row r="34" spans="1:5" ht="15" thickBot="1" x14ac:dyDescent="0.35">
      <c r="A34" s="716" t="s">
        <v>76</v>
      </c>
      <c r="B34" s="716" t="s">
        <v>77</v>
      </c>
      <c r="C34" s="718" t="s">
        <v>78</v>
      </c>
      <c r="D34" s="719"/>
      <c r="E34" s="720"/>
    </row>
    <row r="35" spans="1:5" ht="15" thickBot="1" x14ac:dyDescent="0.35">
      <c r="A35" s="717"/>
      <c r="B35" s="717"/>
      <c r="C35" s="29" t="s">
        <v>79</v>
      </c>
      <c r="D35" s="30" t="s">
        <v>80</v>
      </c>
      <c r="E35" s="29" t="s">
        <v>169</v>
      </c>
    </row>
    <row r="36" spans="1:5" ht="69.599999999999994" thickBot="1" x14ac:dyDescent="0.35">
      <c r="A36" s="31">
        <v>1</v>
      </c>
      <c r="B36" s="95" t="s">
        <v>146</v>
      </c>
      <c r="C36" s="96" t="s">
        <v>147</v>
      </c>
      <c r="D36" s="96" t="s">
        <v>148</v>
      </c>
      <c r="E36" s="96" t="s">
        <v>149</v>
      </c>
    </row>
    <row r="37" spans="1:5" ht="55.8" thickBot="1" x14ac:dyDescent="0.35">
      <c r="A37" s="97">
        <v>2</v>
      </c>
      <c r="B37" s="98" t="s">
        <v>150</v>
      </c>
      <c r="C37" s="44" t="s">
        <v>151</v>
      </c>
      <c r="D37" s="44" t="s">
        <v>152</v>
      </c>
      <c r="E37" s="44" t="s">
        <v>153</v>
      </c>
    </row>
    <row r="38" spans="1:5" ht="42" thickBot="1" x14ac:dyDescent="0.35">
      <c r="A38" s="97">
        <v>3</v>
      </c>
      <c r="B38" s="99" t="s">
        <v>154</v>
      </c>
      <c r="C38" s="44" t="s">
        <v>155</v>
      </c>
      <c r="D38" s="44" t="s">
        <v>156</v>
      </c>
      <c r="E38" s="100" t="s">
        <v>157</v>
      </c>
    </row>
  </sheetData>
  <mergeCells count="19">
    <mergeCell ref="A33:E33"/>
    <mergeCell ref="A34:A35"/>
    <mergeCell ref="B34:B35"/>
    <mergeCell ref="C34:E34"/>
    <mergeCell ref="A14:E14"/>
    <mergeCell ref="A15:A16"/>
    <mergeCell ref="B15:B16"/>
    <mergeCell ref="C15:E15"/>
    <mergeCell ref="A20:E20"/>
    <mergeCell ref="A21:A22"/>
    <mergeCell ref="B21:B22"/>
    <mergeCell ref="C21:E21"/>
    <mergeCell ref="A2:E2"/>
    <mergeCell ref="A4:A5"/>
    <mergeCell ref="B4:E4"/>
    <mergeCell ref="A25:E25"/>
    <mergeCell ref="A27:A28"/>
    <mergeCell ref="B27:B28"/>
    <mergeCell ref="C27:E27"/>
  </mergeCells>
  <pageMargins left="0.7" right="0.7" top="0.75" bottom="0.75" header="0.3" footer="0.3"/>
  <pageSetup paperSize="9" scale="78" fitToHeight="0" orientation="landscape" r:id="rId1"/>
  <rowBreaks count="1" manualBreakCount="1">
    <brk id="13"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R87"/>
  <sheetViews>
    <sheetView zoomScaleNormal="100" workbookViewId="0">
      <pane ySplit="12" topLeftCell="A19" activePane="bottomLeft" state="frozen"/>
      <selection pane="bottomLeft" activeCell="I16" sqref="I16"/>
    </sheetView>
  </sheetViews>
  <sheetFormatPr defaultColWidth="9.109375" defaultRowHeight="13.8" x14ac:dyDescent="0.25"/>
  <cols>
    <col min="1" max="1" width="28.6640625" style="40" bestFit="1" customWidth="1"/>
    <col min="2" max="2" width="8.6640625" style="40" customWidth="1"/>
    <col min="3" max="3" width="8.33203125" style="40" customWidth="1"/>
    <col min="4" max="4" width="8.5546875" style="40" customWidth="1"/>
    <col min="5" max="5" width="8.109375" style="40" customWidth="1"/>
    <col min="6" max="6" width="8.44140625" style="40" customWidth="1"/>
    <col min="7" max="7" width="9.33203125" style="40" customWidth="1"/>
    <col min="8" max="12" width="7.6640625" style="40" bestFit="1" customWidth="1"/>
    <col min="13" max="13" width="7.6640625" style="40" customWidth="1"/>
    <col min="14" max="14" width="10.88671875" style="40" customWidth="1"/>
    <col min="15" max="15" width="8.44140625" style="40" customWidth="1"/>
    <col min="16" max="16" width="26.33203125" style="40" bestFit="1" customWidth="1"/>
    <col min="17" max="16384" width="9.109375" style="40"/>
  </cols>
  <sheetData>
    <row r="1" spans="1:18" x14ac:dyDescent="0.25">
      <c r="H1" s="721"/>
      <c r="I1" s="721"/>
      <c r="J1" s="721"/>
      <c r="K1" s="721"/>
      <c r="L1" s="721"/>
      <c r="M1" s="721"/>
      <c r="N1" s="721"/>
      <c r="O1" s="721"/>
    </row>
    <row r="2" spans="1:18" s="48" customFormat="1" ht="20.100000000000001" customHeight="1" x14ac:dyDescent="0.3">
      <c r="A2" s="47" t="s">
        <v>27</v>
      </c>
      <c r="B2" s="725" t="str">
        <f>CONCATENATE(CO_PO_Mapping!V4,"-",CO_PO_Mapping!AD4)</f>
        <v>-</v>
      </c>
      <c r="C2" s="726"/>
      <c r="D2" s="726"/>
      <c r="E2" s="726"/>
      <c r="F2" s="726"/>
      <c r="G2" s="726"/>
      <c r="H2" s="726"/>
      <c r="I2" s="726"/>
      <c r="J2" s="726"/>
      <c r="K2" s="726"/>
      <c r="L2" s="726"/>
      <c r="M2" s="726"/>
      <c r="N2" s="726"/>
      <c r="O2" s="727"/>
    </row>
    <row r="3" spans="1:18" s="50" customFormat="1" ht="20.100000000000001" customHeight="1" x14ac:dyDescent="0.3">
      <c r="A3" s="47" t="s">
        <v>97</v>
      </c>
      <c r="B3" s="722" t="s">
        <v>187</v>
      </c>
      <c r="C3" s="723"/>
      <c r="D3" s="724"/>
      <c r="E3" s="722" t="s">
        <v>188</v>
      </c>
      <c r="F3" s="723"/>
      <c r="G3" s="724"/>
      <c r="H3" s="722" t="s">
        <v>12</v>
      </c>
      <c r="I3" s="723"/>
      <c r="J3" s="723"/>
      <c r="K3" s="723"/>
      <c r="L3" s="723"/>
      <c r="M3" s="724"/>
      <c r="N3" s="47" t="s">
        <v>14</v>
      </c>
      <c r="O3" s="49" t="s">
        <v>31</v>
      </c>
    </row>
    <row r="4" spans="1:18" s="50" customFormat="1" ht="39" customHeight="1" x14ac:dyDescent="0.3">
      <c r="A4" s="47" t="s">
        <v>96</v>
      </c>
      <c r="B4" s="47" t="s">
        <v>121</v>
      </c>
      <c r="C4" s="47" t="s">
        <v>122</v>
      </c>
      <c r="D4" s="47" t="s">
        <v>123</v>
      </c>
      <c r="E4" s="47" t="s">
        <v>124</v>
      </c>
      <c r="F4" s="47" t="s">
        <v>125</v>
      </c>
      <c r="G4" s="47" t="s">
        <v>159</v>
      </c>
      <c r="H4" s="47" t="e">
        <f>CO_PO_Mapping!#REF!</f>
        <v>#REF!</v>
      </c>
      <c r="I4" s="47" t="str">
        <f>CO_PO_Mapping!U20</f>
        <v>C403.2</v>
      </c>
      <c r="J4" s="47" t="str">
        <f>CO_PO_Mapping!U21</f>
        <v>C403.3</v>
      </c>
      <c r="K4" s="47" t="str">
        <f>CO_PO_Mapping!U22</f>
        <v>C403.4</v>
      </c>
      <c r="L4" s="47" t="str">
        <f>CO_PO_Mapping!U23</f>
        <v>C403.5</v>
      </c>
      <c r="M4" s="47" t="s">
        <v>159</v>
      </c>
      <c r="N4" s="51" t="s">
        <v>126</v>
      </c>
      <c r="O4" s="47" t="s">
        <v>19</v>
      </c>
    </row>
    <row r="5" spans="1:18" s="50" customFormat="1" ht="15.75" customHeight="1" x14ac:dyDescent="0.3">
      <c r="A5" s="47" t="s">
        <v>23</v>
      </c>
      <c r="B5" s="47">
        <v>8</v>
      </c>
      <c r="C5" s="47">
        <v>18</v>
      </c>
      <c r="D5" s="47">
        <v>4</v>
      </c>
      <c r="E5" s="47">
        <v>8</v>
      </c>
      <c r="F5" s="47">
        <v>10</v>
      </c>
      <c r="G5" s="47">
        <v>12</v>
      </c>
      <c r="H5" s="47">
        <v>5</v>
      </c>
      <c r="I5" s="47">
        <v>5</v>
      </c>
      <c r="J5" s="47">
        <v>5</v>
      </c>
      <c r="K5" s="47">
        <v>5</v>
      </c>
      <c r="L5" s="47">
        <v>5</v>
      </c>
      <c r="M5" s="47">
        <v>5</v>
      </c>
      <c r="N5" s="47">
        <v>70</v>
      </c>
      <c r="O5" s="47">
        <v>25</v>
      </c>
      <c r="P5" s="48"/>
    </row>
    <row r="6" spans="1:18" s="50" customFormat="1" ht="20.100000000000001" customHeight="1" x14ac:dyDescent="0.3">
      <c r="A6" s="47" t="s">
        <v>20</v>
      </c>
      <c r="B6" s="52">
        <v>0.45</v>
      </c>
      <c r="C6" s="52">
        <v>0.45</v>
      </c>
      <c r="D6" s="52">
        <v>0.45</v>
      </c>
      <c r="E6" s="52">
        <v>0.45</v>
      </c>
      <c r="F6" s="52">
        <v>0.45</v>
      </c>
      <c r="G6" s="52">
        <v>0.45</v>
      </c>
      <c r="H6" s="52">
        <v>0.45</v>
      </c>
      <c r="I6" s="52">
        <v>0.45</v>
      </c>
      <c r="J6" s="52">
        <v>0.45</v>
      </c>
      <c r="K6" s="52">
        <v>0.45</v>
      </c>
      <c r="L6" s="52">
        <v>0.45</v>
      </c>
      <c r="M6" s="52">
        <v>0.45</v>
      </c>
      <c r="N6" s="52">
        <v>0.45</v>
      </c>
      <c r="O6" s="52">
        <v>0.45</v>
      </c>
    </row>
    <row r="7" spans="1:18" s="50" customFormat="1" ht="20.100000000000001" customHeight="1" x14ac:dyDescent="0.3">
      <c r="A7" s="47" t="s">
        <v>24</v>
      </c>
      <c r="B7" s="47">
        <f>B6*B5</f>
        <v>3.6</v>
      </c>
      <c r="C7" s="47">
        <f t="shared" ref="C7:G7" si="0">C6*C5</f>
        <v>8.1</v>
      </c>
      <c r="D7" s="47">
        <f t="shared" si="0"/>
        <v>1.8</v>
      </c>
      <c r="E7" s="47">
        <f t="shared" si="0"/>
        <v>3.6</v>
      </c>
      <c r="F7" s="47">
        <f t="shared" si="0"/>
        <v>4.5</v>
      </c>
      <c r="G7" s="47">
        <f t="shared" si="0"/>
        <v>5.4</v>
      </c>
      <c r="H7" s="47">
        <f t="shared" ref="H7:O7" si="1">H6*H5</f>
        <v>2.25</v>
      </c>
      <c r="I7" s="47">
        <f t="shared" si="1"/>
        <v>2.25</v>
      </c>
      <c r="J7" s="47">
        <f t="shared" si="1"/>
        <v>2.25</v>
      </c>
      <c r="K7" s="47">
        <f t="shared" si="1"/>
        <v>2.25</v>
      </c>
      <c r="L7" s="47">
        <f t="shared" si="1"/>
        <v>2.25</v>
      </c>
      <c r="M7" s="47">
        <f t="shared" ref="M7" si="2">M6*M5</f>
        <v>2.25</v>
      </c>
      <c r="N7" s="47">
        <f t="shared" si="1"/>
        <v>31.5</v>
      </c>
      <c r="O7" s="47">
        <f t="shared" si="1"/>
        <v>11.25</v>
      </c>
    </row>
    <row r="8" spans="1:18" s="50" customFormat="1" ht="20.100000000000001" customHeight="1" x14ac:dyDescent="0.3">
      <c r="A8" s="47" t="s">
        <v>25</v>
      </c>
      <c r="B8" s="47">
        <v>4</v>
      </c>
      <c r="C8" s="47">
        <v>8</v>
      </c>
      <c r="D8" s="47">
        <v>2</v>
      </c>
      <c r="E8" s="47">
        <v>4</v>
      </c>
      <c r="F8" s="47">
        <v>4</v>
      </c>
      <c r="G8" s="47">
        <v>5</v>
      </c>
      <c r="H8" s="53">
        <f t="shared" ref="H8:O8" si="3">MAX(H7:H7)-0.00001</f>
        <v>2.2499899999999999</v>
      </c>
      <c r="I8" s="53">
        <f t="shared" si="3"/>
        <v>2.2499899999999999</v>
      </c>
      <c r="J8" s="53">
        <f t="shared" si="3"/>
        <v>2.2499899999999999</v>
      </c>
      <c r="K8" s="53">
        <f t="shared" si="3"/>
        <v>2.2499899999999999</v>
      </c>
      <c r="L8" s="53">
        <f t="shared" si="3"/>
        <v>2.2499899999999999</v>
      </c>
      <c r="M8" s="53">
        <f t="shared" ref="M8" si="4">MAX(M7:M7)-0.00001</f>
        <v>2.2499899999999999</v>
      </c>
      <c r="N8" s="53">
        <f t="shared" si="3"/>
        <v>31.49999</v>
      </c>
      <c r="O8" s="53">
        <f t="shared" si="3"/>
        <v>11.24999</v>
      </c>
      <c r="P8" s="648"/>
      <c r="Q8" s="649"/>
      <c r="R8" s="649"/>
    </row>
    <row r="9" spans="1:18" s="48" customFormat="1" ht="20.100000000000001" customHeight="1" x14ac:dyDescent="0.3">
      <c r="A9" s="47" t="s">
        <v>95</v>
      </c>
      <c r="B9" s="47">
        <f>COUNT(B13:B87)</f>
        <v>75</v>
      </c>
      <c r="C9" s="47">
        <f t="shared" ref="C9:G9" si="5">COUNT(C13:C87)</f>
        <v>75</v>
      </c>
      <c r="D9" s="47">
        <f t="shared" si="5"/>
        <v>51</v>
      </c>
      <c r="E9" s="47">
        <f t="shared" si="5"/>
        <v>32</v>
      </c>
      <c r="F9" s="47">
        <f t="shared" si="5"/>
        <v>65</v>
      </c>
      <c r="G9" s="47">
        <f t="shared" si="5"/>
        <v>40</v>
      </c>
      <c r="H9" s="47">
        <f t="shared" ref="H9:O9" si="6">COUNT(H13:H87)</f>
        <v>62</v>
      </c>
      <c r="I9" s="47">
        <f t="shared" si="6"/>
        <v>62</v>
      </c>
      <c r="J9" s="47">
        <f t="shared" si="6"/>
        <v>62</v>
      </c>
      <c r="K9" s="47">
        <f t="shared" si="6"/>
        <v>62</v>
      </c>
      <c r="L9" s="47">
        <f t="shared" si="6"/>
        <v>62</v>
      </c>
      <c r="M9" s="47">
        <f t="shared" si="6"/>
        <v>62</v>
      </c>
      <c r="N9" s="47">
        <f t="shared" si="6"/>
        <v>75</v>
      </c>
      <c r="O9" s="47">
        <f t="shared" si="6"/>
        <v>75</v>
      </c>
    </row>
    <row r="10" spans="1:18" s="48" customFormat="1" ht="20.100000000000001" customHeight="1" x14ac:dyDescent="0.3">
      <c r="A10" s="47" t="s">
        <v>29</v>
      </c>
      <c r="B10" s="47">
        <f>COUNTIF(B13:B87,"&gt;=4")</f>
        <v>13</v>
      </c>
      <c r="C10" s="47">
        <f>COUNTIF(C13:C87,"&gt;=8")</f>
        <v>31</v>
      </c>
      <c r="D10" s="47">
        <f>COUNTIF(D13:D87,"&gt;=2")</f>
        <v>43</v>
      </c>
      <c r="E10" s="47">
        <f>COUNTIF(E13:E87,"&gt;=4")</f>
        <v>23</v>
      </c>
      <c r="F10" s="47">
        <f>COUNTIF(F13:F87,"&gt;=4")</f>
        <v>50</v>
      </c>
      <c r="G10" s="47">
        <f>COUNTIF(G13:G87,"&gt;=5")</f>
        <v>17</v>
      </c>
      <c r="H10" s="47">
        <f t="shared" ref="H10:M10" si="7">COUNTIF(H13:H87,"&gt;=2")</f>
        <v>62</v>
      </c>
      <c r="I10" s="47">
        <f t="shared" si="7"/>
        <v>62</v>
      </c>
      <c r="J10" s="47">
        <f t="shared" si="7"/>
        <v>62</v>
      </c>
      <c r="K10" s="47">
        <f t="shared" si="7"/>
        <v>62</v>
      </c>
      <c r="L10" s="47">
        <f t="shared" si="7"/>
        <v>62</v>
      </c>
      <c r="M10" s="47">
        <f t="shared" si="7"/>
        <v>62</v>
      </c>
      <c r="N10" s="47">
        <f>COUNTIF(N13:N87,"&gt;=31")</f>
        <v>30</v>
      </c>
      <c r="O10" s="47">
        <f>COUNTIF(O13:O87,"&gt;=11")</f>
        <v>75</v>
      </c>
    </row>
    <row r="11" spans="1:18" s="48" customFormat="1" ht="20.100000000000001" customHeight="1" x14ac:dyDescent="0.3">
      <c r="A11" s="47" t="s">
        <v>22</v>
      </c>
      <c r="B11" s="124">
        <f>B10/B9</f>
        <v>0.17333333333333334</v>
      </c>
      <c r="C11" s="124">
        <f t="shared" ref="C11:G11" si="8">C10/C9</f>
        <v>0.41333333333333333</v>
      </c>
      <c r="D11" s="124">
        <f t="shared" si="8"/>
        <v>0.84313725490196079</v>
      </c>
      <c r="E11" s="124">
        <f t="shared" si="8"/>
        <v>0.71875</v>
      </c>
      <c r="F11" s="124">
        <f t="shared" si="8"/>
        <v>0.76923076923076927</v>
      </c>
      <c r="G11" s="124">
        <f t="shared" si="8"/>
        <v>0.42499999999999999</v>
      </c>
      <c r="H11" s="54">
        <f t="shared" ref="H11:O11" si="9">H10/H9</f>
        <v>1</v>
      </c>
      <c r="I11" s="54">
        <f t="shared" si="9"/>
        <v>1</v>
      </c>
      <c r="J11" s="54">
        <f t="shared" si="9"/>
        <v>1</v>
      </c>
      <c r="K11" s="54">
        <f t="shared" si="9"/>
        <v>1</v>
      </c>
      <c r="L11" s="54">
        <f t="shared" si="9"/>
        <v>1</v>
      </c>
      <c r="M11" s="54">
        <f t="shared" ref="M11" si="10">M10/M9</f>
        <v>1</v>
      </c>
      <c r="N11" s="54">
        <f t="shared" si="9"/>
        <v>0.4</v>
      </c>
      <c r="O11" s="54">
        <f t="shared" si="9"/>
        <v>1</v>
      </c>
    </row>
    <row r="12" spans="1:18" s="48" customFormat="1" ht="20.100000000000001" customHeight="1" x14ac:dyDescent="0.3">
      <c r="A12" s="47" t="s">
        <v>21</v>
      </c>
      <c r="B12" s="47">
        <v>0</v>
      </c>
      <c r="C12" s="47">
        <v>1</v>
      </c>
      <c r="D12" s="47">
        <v>3</v>
      </c>
      <c r="E12" s="47">
        <v>3</v>
      </c>
      <c r="F12" s="47">
        <v>3</v>
      </c>
      <c r="G12" s="47">
        <v>1</v>
      </c>
      <c r="H12" s="93">
        <v>3</v>
      </c>
      <c r="I12" s="93">
        <v>3</v>
      </c>
      <c r="J12" s="93">
        <v>3</v>
      </c>
      <c r="K12" s="93">
        <v>3</v>
      </c>
      <c r="L12" s="93">
        <v>3</v>
      </c>
      <c r="M12" s="93">
        <v>3</v>
      </c>
      <c r="N12" s="47">
        <v>1</v>
      </c>
      <c r="O12" s="47">
        <v>3</v>
      </c>
      <c r="P12" s="55"/>
      <c r="Q12" s="50"/>
    </row>
    <row r="13" spans="1:18" s="48" customFormat="1" ht="20.100000000000001" customHeight="1" x14ac:dyDescent="0.3">
      <c r="A13" s="56">
        <v>1</v>
      </c>
      <c r="B13" s="56">
        <v>0</v>
      </c>
      <c r="C13" s="56">
        <v>5</v>
      </c>
      <c r="D13" s="56">
        <v>2</v>
      </c>
      <c r="E13" s="56">
        <v>8</v>
      </c>
      <c r="F13" s="56">
        <v>4</v>
      </c>
      <c r="G13" s="56"/>
      <c r="H13" s="94">
        <v>5</v>
      </c>
      <c r="I13" s="94">
        <v>4</v>
      </c>
      <c r="J13" s="94">
        <v>4</v>
      </c>
      <c r="K13" s="94">
        <v>5</v>
      </c>
      <c r="L13" s="94">
        <v>5</v>
      </c>
      <c r="M13" s="105">
        <v>5</v>
      </c>
      <c r="N13" s="57">
        <v>38</v>
      </c>
      <c r="O13" s="56">
        <v>19</v>
      </c>
    </row>
    <row r="14" spans="1:18" s="48" customFormat="1" ht="20.100000000000001" customHeight="1" x14ac:dyDescent="0.3">
      <c r="A14" s="56">
        <v>2</v>
      </c>
      <c r="B14" s="56">
        <v>0</v>
      </c>
      <c r="C14" s="56">
        <v>5</v>
      </c>
      <c r="D14" s="56">
        <v>4</v>
      </c>
      <c r="E14" s="56">
        <v>8</v>
      </c>
      <c r="F14" s="56">
        <v>4</v>
      </c>
      <c r="G14" s="56"/>
      <c r="H14" s="94">
        <v>5</v>
      </c>
      <c r="I14" s="94">
        <v>4</v>
      </c>
      <c r="J14" s="94">
        <v>4</v>
      </c>
      <c r="K14" s="94">
        <v>5</v>
      </c>
      <c r="L14" s="94">
        <v>5</v>
      </c>
      <c r="M14" s="105">
        <v>5</v>
      </c>
      <c r="N14" s="57">
        <v>32</v>
      </c>
      <c r="O14" s="56">
        <v>18</v>
      </c>
    </row>
    <row r="15" spans="1:18" s="48" customFormat="1" ht="20.100000000000001" customHeight="1" x14ac:dyDescent="0.3">
      <c r="A15" s="56">
        <v>3</v>
      </c>
      <c r="B15" s="56">
        <v>0</v>
      </c>
      <c r="C15" s="56">
        <v>10</v>
      </c>
      <c r="D15" s="56">
        <v>4</v>
      </c>
      <c r="E15" s="56">
        <v>8</v>
      </c>
      <c r="F15" s="56">
        <v>4</v>
      </c>
      <c r="G15" s="56"/>
      <c r="H15" s="94">
        <v>5</v>
      </c>
      <c r="I15" s="94">
        <v>4</v>
      </c>
      <c r="J15" s="94">
        <v>5</v>
      </c>
      <c r="K15" s="94">
        <v>4</v>
      </c>
      <c r="L15" s="94">
        <v>5</v>
      </c>
      <c r="M15" s="105">
        <v>5</v>
      </c>
      <c r="N15" s="57">
        <v>28</v>
      </c>
      <c r="O15" s="56">
        <v>22</v>
      </c>
    </row>
    <row r="16" spans="1:18" s="48" customFormat="1" ht="20.100000000000001" customHeight="1" x14ac:dyDescent="0.3">
      <c r="A16" s="56">
        <v>4</v>
      </c>
      <c r="B16" s="56">
        <v>0</v>
      </c>
      <c r="C16" s="56">
        <v>10</v>
      </c>
      <c r="D16" s="56">
        <v>4</v>
      </c>
      <c r="E16" s="56">
        <v>4</v>
      </c>
      <c r="F16" s="56">
        <v>4</v>
      </c>
      <c r="G16" s="56"/>
      <c r="H16" s="94">
        <v>5</v>
      </c>
      <c r="I16" s="94">
        <v>5</v>
      </c>
      <c r="J16" s="94">
        <v>5</v>
      </c>
      <c r="K16" s="94">
        <v>5</v>
      </c>
      <c r="L16" s="94">
        <v>5</v>
      </c>
      <c r="M16" s="105">
        <v>4</v>
      </c>
      <c r="N16" s="57">
        <v>29</v>
      </c>
      <c r="O16" s="56">
        <v>21</v>
      </c>
    </row>
    <row r="17" spans="1:15" s="48" customFormat="1" ht="20.100000000000001" customHeight="1" x14ac:dyDescent="0.3">
      <c r="A17" s="56">
        <v>5</v>
      </c>
      <c r="B17" s="56">
        <v>3</v>
      </c>
      <c r="C17" s="56">
        <v>10</v>
      </c>
      <c r="D17" s="56"/>
      <c r="E17" s="56">
        <v>8</v>
      </c>
      <c r="F17" s="56">
        <v>4</v>
      </c>
      <c r="G17" s="56"/>
      <c r="H17" s="94">
        <v>5</v>
      </c>
      <c r="I17" s="94">
        <v>5</v>
      </c>
      <c r="J17" s="94">
        <v>5</v>
      </c>
      <c r="K17" s="94">
        <v>5</v>
      </c>
      <c r="L17" s="94">
        <v>5</v>
      </c>
      <c r="M17" s="105">
        <v>5</v>
      </c>
      <c r="N17" s="57">
        <v>32</v>
      </c>
      <c r="O17" s="56">
        <v>22</v>
      </c>
    </row>
    <row r="18" spans="1:15" s="48" customFormat="1" ht="20.100000000000001" customHeight="1" x14ac:dyDescent="0.3">
      <c r="A18" s="56">
        <v>6</v>
      </c>
      <c r="B18" s="56">
        <v>0</v>
      </c>
      <c r="C18" s="56">
        <v>0</v>
      </c>
      <c r="D18" s="56">
        <v>4</v>
      </c>
      <c r="E18" s="56"/>
      <c r="F18" s="56">
        <v>10</v>
      </c>
      <c r="G18" s="56">
        <v>0</v>
      </c>
      <c r="H18" s="94">
        <v>5</v>
      </c>
      <c r="I18" s="94">
        <v>5</v>
      </c>
      <c r="J18" s="94">
        <v>5</v>
      </c>
      <c r="K18" s="94">
        <v>5</v>
      </c>
      <c r="L18" s="94">
        <v>5</v>
      </c>
      <c r="M18" s="105">
        <v>5</v>
      </c>
      <c r="N18" s="57">
        <v>38</v>
      </c>
      <c r="O18" s="56">
        <v>23</v>
      </c>
    </row>
    <row r="19" spans="1:15" s="48" customFormat="1" ht="20.100000000000001" customHeight="1" x14ac:dyDescent="0.3">
      <c r="A19" s="56">
        <v>7</v>
      </c>
      <c r="B19" s="56">
        <v>0</v>
      </c>
      <c r="C19" s="56">
        <v>6</v>
      </c>
      <c r="D19" s="56">
        <v>2</v>
      </c>
      <c r="E19" s="56"/>
      <c r="F19" s="56">
        <v>4</v>
      </c>
      <c r="G19" s="56">
        <v>2</v>
      </c>
      <c r="H19" s="94">
        <v>5</v>
      </c>
      <c r="I19" s="94">
        <v>4</v>
      </c>
      <c r="J19" s="94">
        <v>4</v>
      </c>
      <c r="K19" s="94">
        <v>5</v>
      </c>
      <c r="L19" s="94">
        <v>5</v>
      </c>
      <c r="M19" s="105">
        <v>5</v>
      </c>
      <c r="N19" s="57">
        <v>30</v>
      </c>
      <c r="O19" s="56">
        <v>22</v>
      </c>
    </row>
    <row r="20" spans="1:15" s="48" customFormat="1" ht="20.100000000000001" customHeight="1" x14ac:dyDescent="0.3">
      <c r="A20" s="56">
        <v>8</v>
      </c>
      <c r="B20" s="56">
        <v>0</v>
      </c>
      <c r="C20" s="56">
        <v>6</v>
      </c>
      <c r="D20" s="56">
        <v>4</v>
      </c>
      <c r="E20" s="56">
        <v>8</v>
      </c>
      <c r="F20" s="56">
        <v>4</v>
      </c>
      <c r="G20" s="56">
        <v>2</v>
      </c>
      <c r="H20" s="94"/>
      <c r="I20" s="94"/>
      <c r="J20" s="94"/>
      <c r="K20" s="94"/>
      <c r="L20" s="94"/>
      <c r="M20" s="105"/>
      <c r="N20" s="57">
        <v>37</v>
      </c>
      <c r="O20" s="56">
        <v>22</v>
      </c>
    </row>
    <row r="21" spans="1:15" s="48" customFormat="1" ht="20.100000000000001" customHeight="1" x14ac:dyDescent="0.3">
      <c r="A21" s="56">
        <v>9</v>
      </c>
      <c r="B21" s="56">
        <v>0</v>
      </c>
      <c r="C21" s="56">
        <v>6</v>
      </c>
      <c r="D21" s="56">
        <v>2</v>
      </c>
      <c r="E21" s="56"/>
      <c r="F21" s="56">
        <v>2</v>
      </c>
      <c r="G21" s="56"/>
      <c r="H21" s="94">
        <v>5</v>
      </c>
      <c r="I21" s="94">
        <v>5</v>
      </c>
      <c r="J21" s="94">
        <v>5</v>
      </c>
      <c r="K21" s="94">
        <v>4</v>
      </c>
      <c r="L21" s="94">
        <v>5</v>
      </c>
      <c r="M21" s="105">
        <v>4</v>
      </c>
      <c r="N21" s="57">
        <v>15</v>
      </c>
      <c r="O21" s="56">
        <v>14</v>
      </c>
    </row>
    <row r="22" spans="1:15" s="48" customFormat="1" ht="20.100000000000001" customHeight="1" x14ac:dyDescent="0.3">
      <c r="A22" s="56">
        <v>10</v>
      </c>
      <c r="B22" s="56">
        <v>0</v>
      </c>
      <c r="C22" s="56">
        <v>6</v>
      </c>
      <c r="D22" s="56"/>
      <c r="E22" s="56"/>
      <c r="F22" s="56">
        <v>6</v>
      </c>
      <c r="G22" s="56"/>
      <c r="H22" s="94">
        <v>5</v>
      </c>
      <c r="I22" s="94">
        <v>5</v>
      </c>
      <c r="J22" s="94">
        <v>5</v>
      </c>
      <c r="K22" s="94">
        <v>5</v>
      </c>
      <c r="L22" s="94">
        <v>5</v>
      </c>
      <c r="M22" s="105">
        <v>5</v>
      </c>
      <c r="N22" s="57">
        <v>31</v>
      </c>
      <c r="O22" s="56">
        <v>20</v>
      </c>
    </row>
    <row r="23" spans="1:15" s="48" customFormat="1" ht="20.100000000000001" customHeight="1" x14ac:dyDescent="0.3">
      <c r="A23" s="56">
        <v>11</v>
      </c>
      <c r="B23" s="56">
        <v>0</v>
      </c>
      <c r="C23" s="56">
        <v>6</v>
      </c>
      <c r="D23" s="56"/>
      <c r="E23" s="56"/>
      <c r="F23" s="56">
        <v>6</v>
      </c>
      <c r="G23" s="56"/>
      <c r="H23" s="94">
        <v>5</v>
      </c>
      <c r="I23" s="94">
        <v>5</v>
      </c>
      <c r="J23" s="94">
        <v>5</v>
      </c>
      <c r="K23" s="94">
        <v>4</v>
      </c>
      <c r="L23" s="94">
        <v>5</v>
      </c>
      <c r="M23" s="105">
        <v>4</v>
      </c>
      <c r="N23" s="57">
        <v>28</v>
      </c>
      <c r="O23" s="56">
        <v>19</v>
      </c>
    </row>
    <row r="24" spans="1:15" s="48" customFormat="1" ht="20.100000000000001" customHeight="1" x14ac:dyDescent="0.3">
      <c r="A24" s="56">
        <v>12</v>
      </c>
      <c r="B24" s="56">
        <v>4</v>
      </c>
      <c r="C24" s="56">
        <v>10</v>
      </c>
      <c r="D24" s="56"/>
      <c r="E24" s="56"/>
      <c r="F24" s="56">
        <v>6</v>
      </c>
      <c r="G24" s="56">
        <v>0</v>
      </c>
      <c r="H24" s="94">
        <v>5</v>
      </c>
      <c r="I24" s="94">
        <v>5</v>
      </c>
      <c r="J24" s="94">
        <v>5</v>
      </c>
      <c r="K24" s="94">
        <v>5</v>
      </c>
      <c r="L24" s="94">
        <v>5</v>
      </c>
      <c r="M24" s="105">
        <v>5</v>
      </c>
      <c r="N24" s="57">
        <v>36</v>
      </c>
      <c r="O24" s="56">
        <v>16</v>
      </c>
    </row>
    <row r="25" spans="1:15" s="48" customFormat="1" ht="20.100000000000001" customHeight="1" x14ac:dyDescent="0.3">
      <c r="A25" s="56">
        <v>13</v>
      </c>
      <c r="B25" s="56">
        <v>2</v>
      </c>
      <c r="C25" s="56">
        <v>14</v>
      </c>
      <c r="D25" s="56">
        <v>3</v>
      </c>
      <c r="E25" s="56"/>
      <c r="F25" s="56">
        <v>4</v>
      </c>
      <c r="G25" s="56"/>
      <c r="H25" s="94">
        <v>5</v>
      </c>
      <c r="I25" s="94">
        <v>5</v>
      </c>
      <c r="J25" s="94">
        <v>5</v>
      </c>
      <c r="K25" s="94">
        <v>5</v>
      </c>
      <c r="L25" s="94">
        <v>5</v>
      </c>
      <c r="M25" s="105">
        <v>5</v>
      </c>
      <c r="N25" s="57">
        <v>35</v>
      </c>
      <c r="O25" s="56">
        <v>11</v>
      </c>
    </row>
    <row r="26" spans="1:15" s="48" customFormat="1" ht="20.100000000000001" customHeight="1" x14ac:dyDescent="0.3">
      <c r="A26" s="56">
        <v>14</v>
      </c>
      <c r="B26" s="56">
        <v>2</v>
      </c>
      <c r="C26" s="56">
        <v>10</v>
      </c>
      <c r="D26" s="56">
        <v>4</v>
      </c>
      <c r="E26" s="56">
        <v>8</v>
      </c>
      <c r="F26" s="56">
        <v>4</v>
      </c>
      <c r="G26" s="56">
        <v>2</v>
      </c>
      <c r="H26" s="94">
        <v>5</v>
      </c>
      <c r="I26" s="94">
        <v>5</v>
      </c>
      <c r="J26" s="94">
        <v>5</v>
      </c>
      <c r="K26" s="94">
        <v>5</v>
      </c>
      <c r="L26" s="94">
        <v>5</v>
      </c>
      <c r="M26" s="105">
        <v>5</v>
      </c>
      <c r="N26" s="57">
        <v>39</v>
      </c>
      <c r="O26" s="56">
        <v>21</v>
      </c>
    </row>
    <row r="27" spans="1:15" s="48" customFormat="1" ht="20.100000000000001" customHeight="1" x14ac:dyDescent="0.3">
      <c r="A27" s="56">
        <v>15</v>
      </c>
      <c r="B27" s="56">
        <v>0</v>
      </c>
      <c r="C27" s="56">
        <v>17</v>
      </c>
      <c r="D27" s="56">
        <v>3</v>
      </c>
      <c r="E27" s="56">
        <v>8</v>
      </c>
      <c r="F27" s="56">
        <v>10</v>
      </c>
      <c r="G27" s="56">
        <v>1</v>
      </c>
      <c r="H27" s="94">
        <v>5</v>
      </c>
      <c r="I27" s="94">
        <v>5</v>
      </c>
      <c r="J27" s="94">
        <v>5</v>
      </c>
      <c r="K27" s="94">
        <v>4</v>
      </c>
      <c r="L27" s="94">
        <v>5</v>
      </c>
      <c r="M27" s="105">
        <v>5</v>
      </c>
      <c r="N27" s="57">
        <v>42</v>
      </c>
      <c r="O27" s="56">
        <v>22</v>
      </c>
    </row>
    <row r="28" spans="1:15" s="48" customFormat="1" ht="20.100000000000001" customHeight="1" x14ac:dyDescent="0.3">
      <c r="A28" s="56">
        <v>16</v>
      </c>
      <c r="B28" s="56">
        <v>4</v>
      </c>
      <c r="C28" s="56">
        <v>18</v>
      </c>
      <c r="D28" s="56">
        <v>4</v>
      </c>
      <c r="E28" s="56"/>
      <c r="F28" s="56"/>
      <c r="G28" s="56"/>
      <c r="H28" s="94">
        <v>5</v>
      </c>
      <c r="I28" s="94">
        <v>5</v>
      </c>
      <c r="J28" s="94">
        <v>5</v>
      </c>
      <c r="K28" s="94">
        <v>5</v>
      </c>
      <c r="L28" s="94">
        <v>5</v>
      </c>
      <c r="M28" s="105">
        <v>5</v>
      </c>
      <c r="N28" s="57">
        <v>32</v>
      </c>
      <c r="O28" s="56">
        <v>11</v>
      </c>
    </row>
    <row r="29" spans="1:15" s="48" customFormat="1" ht="20.100000000000001" customHeight="1" x14ac:dyDescent="0.3">
      <c r="A29" s="56">
        <v>17</v>
      </c>
      <c r="B29" s="56">
        <v>2</v>
      </c>
      <c r="C29" s="56">
        <v>6</v>
      </c>
      <c r="D29" s="56">
        <v>3</v>
      </c>
      <c r="E29" s="56">
        <v>2</v>
      </c>
      <c r="F29" s="56">
        <v>4</v>
      </c>
      <c r="G29" s="56"/>
      <c r="H29" s="94">
        <v>5</v>
      </c>
      <c r="I29" s="94">
        <v>5</v>
      </c>
      <c r="J29" s="94">
        <v>5</v>
      </c>
      <c r="K29" s="94">
        <v>5</v>
      </c>
      <c r="L29" s="94">
        <v>5</v>
      </c>
      <c r="M29" s="105">
        <v>5</v>
      </c>
      <c r="N29" s="57">
        <v>16</v>
      </c>
      <c r="O29" s="56">
        <v>17</v>
      </c>
    </row>
    <row r="30" spans="1:15" s="48" customFormat="1" ht="20.100000000000001" customHeight="1" x14ac:dyDescent="0.3">
      <c r="A30" s="56">
        <v>18</v>
      </c>
      <c r="B30" s="56">
        <v>0</v>
      </c>
      <c r="C30" s="56">
        <v>0</v>
      </c>
      <c r="D30" s="56"/>
      <c r="E30" s="56">
        <v>8</v>
      </c>
      <c r="F30" s="56">
        <v>4</v>
      </c>
      <c r="G30" s="56"/>
      <c r="H30" s="94">
        <v>5</v>
      </c>
      <c r="I30" s="94">
        <v>5</v>
      </c>
      <c r="J30" s="94">
        <v>5</v>
      </c>
      <c r="K30" s="94">
        <v>5</v>
      </c>
      <c r="L30" s="94">
        <v>5</v>
      </c>
      <c r="M30" s="105">
        <v>5</v>
      </c>
      <c r="N30" s="57">
        <v>12</v>
      </c>
      <c r="O30" s="56">
        <v>14</v>
      </c>
    </row>
    <row r="31" spans="1:15" s="48" customFormat="1" ht="20.100000000000001" customHeight="1" x14ac:dyDescent="0.3">
      <c r="A31" s="56">
        <v>19</v>
      </c>
      <c r="B31" s="56">
        <v>0</v>
      </c>
      <c r="C31" s="56">
        <v>10</v>
      </c>
      <c r="D31" s="56">
        <v>3</v>
      </c>
      <c r="E31" s="56">
        <v>8</v>
      </c>
      <c r="F31" s="56">
        <v>4</v>
      </c>
      <c r="G31" s="56"/>
      <c r="H31" s="94">
        <v>5</v>
      </c>
      <c r="I31" s="94">
        <v>5</v>
      </c>
      <c r="J31" s="94">
        <v>4</v>
      </c>
      <c r="K31" s="94">
        <v>5</v>
      </c>
      <c r="L31" s="94">
        <v>5</v>
      </c>
      <c r="M31" s="105">
        <v>5</v>
      </c>
      <c r="N31" s="57">
        <v>0</v>
      </c>
      <c r="O31" s="56">
        <v>14</v>
      </c>
    </row>
    <row r="32" spans="1:15" s="48" customFormat="1" ht="20.100000000000001" customHeight="1" x14ac:dyDescent="0.3">
      <c r="A32" s="56">
        <v>20</v>
      </c>
      <c r="B32" s="56">
        <v>3</v>
      </c>
      <c r="C32" s="56">
        <v>4</v>
      </c>
      <c r="D32" s="56"/>
      <c r="E32" s="56"/>
      <c r="F32" s="56">
        <v>10</v>
      </c>
      <c r="G32" s="56">
        <v>2</v>
      </c>
      <c r="H32" s="94">
        <v>5</v>
      </c>
      <c r="I32" s="94">
        <v>5</v>
      </c>
      <c r="J32" s="94">
        <v>5</v>
      </c>
      <c r="K32" s="94">
        <v>5</v>
      </c>
      <c r="L32" s="94">
        <v>4</v>
      </c>
      <c r="M32" s="105">
        <v>5</v>
      </c>
      <c r="N32" s="57">
        <v>38</v>
      </c>
      <c r="O32" s="56">
        <v>18</v>
      </c>
    </row>
    <row r="33" spans="1:15" s="48" customFormat="1" ht="20.100000000000001" customHeight="1" x14ac:dyDescent="0.3">
      <c r="A33" s="56">
        <v>21</v>
      </c>
      <c r="B33" s="56">
        <v>1</v>
      </c>
      <c r="C33" s="56">
        <v>6</v>
      </c>
      <c r="D33" s="56">
        <v>3</v>
      </c>
      <c r="E33" s="56"/>
      <c r="F33" s="56">
        <v>2</v>
      </c>
      <c r="G33" s="56">
        <v>6</v>
      </c>
      <c r="H33" s="94">
        <v>5</v>
      </c>
      <c r="I33" s="94">
        <v>5</v>
      </c>
      <c r="J33" s="94">
        <v>5</v>
      </c>
      <c r="K33" s="94">
        <v>5</v>
      </c>
      <c r="L33" s="94">
        <v>5</v>
      </c>
      <c r="M33" s="105">
        <v>5</v>
      </c>
      <c r="N33" s="57">
        <v>13</v>
      </c>
      <c r="O33" s="56">
        <v>15</v>
      </c>
    </row>
    <row r="34" spans="1:15" s="48" customFormat="1" ht="20.100000000000001" customHeight="1" x14ac:dyDescent="0.3">
      <c r="A34" s="56">
        <v>22</v>
      </c>
      <c r="B34" s="56">
        <v>0</v>
      </c>
      <c r="C34" s="56">
        <v>6</v>
      </c>
      <c r="D34" s="56">
        <v>4</v>
      </c>
      <c r="E34" s="56"/>
      <c r="F34" s="56">
        <v>0</v>
      </c>
      <c r="G34" s="56">
        <v>4</v>
      </c>
      <c r="H34" s="94">
        <v>5</v>
      </c>
      <c r="I34" s="94">
        <v>5</v>
      </c>
      <c r="J34" s="94">
        <v>5</v>
      </c>
      <c r="K34" s="94">
        <v>5</v>
      </c>
      <c r="L34" s="94">
        <v>5</v>
      </c>
      <c r="M34" s="105">
        <v>5</v>
      </c>
      <c r="N34" s="57">
        <v>13</v>
      </c>
      <c r="O34" s="56">
        <v>15</v>
      </c>
    </row>
    <row r="35" spans="1:15" s="48" customFormat="1" ht="20.100000000000001" customHeight="1" x14ac:dyDescent="0.3">
      <c r="A35" s="56">
        <v>23</v>
      </c>
      <c r="B35" s="56">
        <v>4</v>
      </c>
      <c r="C35" s="56">
        <v>6</v>
      </c>
      <c r="D35" s="56">
        <v>3</v>
      </c>
      <c r="E35" s="56"/>
      <c r="F35" s="56">
        <v>0</v>
      </c>
      <c r="G35" s="56">
        <v>12</v>
      </c>
      <c r="H35" s="94">
        <v>5</v>
      </c>
      <c r="I35" s="94">
        <v>5</v>
      </c>
      <c r="J35" s="94">
        <v>5</v>
      </c>
      <c r="K35" s="94">
        <v>5</v>
      </c>
      <c r="L35" s="94">
        <v>4</v>
      </c>
      <c r="M35" s="105">
        <v>5</v>
      </c>
      <c r="N35" s="57">
        <v>35</v>
      </c>
      <c r="O35" s="56">
        <v>21</v>
      </c>
    </row>
    <row r="36" spans="1:15" s="48" customFormat="1" ht="20.100000000000001" customHeight="1" x14ac:dyDescent="0.3">
      <c r="A36" s="56">
        <v>24</v>
      </c>
      <c r="B36" s="56">
        <v>1</v>
      </c>
      <c r="C36" s="56">
        <v>12</v>
      </c>
      <c r="D36" s="56">
        <v>1</v>
      </c>
      <c r="E36" s="56"/>
      <c r="F36" s="56">
        <v>6</v>
      </c>
      <c r="G36" s="56">
        <v>12</v>
      </c>
      <c r="H36" s="94">
        <v>5</v>
      </c>
      <c r="I36" s="94">
        <v>5</v>
      </c>
      <c r="J36" s="94">
        <v>5</v>
      </c>
      <c r="K36" s="94">
        <v>5</v>
      </c>
      <c r="L36" s="94">
        <v>5</v>
      </c>
      <c r="M36" s="105">
        <v>4</v>
      </c>
      <c r="N36" s="57">
        <v>50</v>
      </c>
      <c r="O36" s="56">
        <v>22</v>
      </c>
    </row>
    <row r="37" spans="1:15" s="48" customFormat="1" ht="20.100000000000001" customHeight="1" x14ac:dyDescent="0.3">
      <c r="A37" s="56">
        <v>25</v>
      </c>
      <c r="B37" s="56">
        <v>3</v>
      </c>
      <c r="C37" s="56">
        <v>18</v>
      </c>
      <c r="D37" s="56">
        <v>4</v>
      </c>
      <c r="E37" s="56"/>
      <c r="F37" s="56">
        <v>6</v>
      </c>
      <c r="G37" s="56">
        <v>12</v>
      </c>
      <c r="H37" s="94">
        <v>5</v>
      </c>
      <c r="I37" s="94">
        <v>5</v>
      </c>
      <c r="J37" s="94">
        <v>5</v>
      </c>
      <c r="K37" s="94">
        <v>4</v>
      </c>
      <c r="L37" s="94">
        <v>5</v>
      </c>
      <c r="M37" s="105">
        <v>4</v>
      </c>
      <c r="N37" s="57">
        <v>16</v>
      </c>
      <c r="O37" s="56">
        <v>22</v>
      </c>
    </row>
    <row r="38" spans="1:15" s="48" customFormat="1" ht="20.100000000000001" customHeight="1" x14ac:dyDescent="0.3">
      <c r="A38" s="56">
        <v>26</v>
      </c>
      <c r="B38" s="56">
        <v>2</v>
      </c>
      <c r="C38" s="56">
        <v>1</v>
      </c>
      <c r="D38" s="56"/>
      <c r="E38" s="56"/>
      <c r="F38" s="56">
        <v>4</v>
      </c>
      <c r="G38" s="56">
        <v>12</v>
      </c>
      <c r="H38" s="94">
        <v>5</v>
      </c>
      <c r="I38" s="94">
        <v>5</v>
      </c>
      <c r="J38" s="94">
        <v>5</v>
      </c>
      <c r="K38" s="94">
        <v>5</v>
      </c>
      <c r="L38" s="94">
        <v>5</v>
      </c>
      <c r="M38" s="105">
        <v>5</v>
      </c>
      <c r="N38" s="57">
        <v>28</v>
      </c>
      <c r="O38" s="56">
        <v>18</v>
      </c>
    </row>
    <row r="39" spans="1:15" s="48" customFormat="1" ht="20.100000000000001" customHeight="1" x14ac:dyDescent="0.3">
      <c r="A39" s="56">
        <v>27</v>
      </c>
      <c r="B39" s="56">
        <v>0</v>
      </c>
      <c r="C39" s="56">
        <v>7</v>
      </c>
      <c r="D39" s="56"/>
      <c r="E39" s="56"/>
      <c r="F39" s="56"/>
      <c r="G39" s="56">
        <v>12</v>
      </c>
      <c r="H39" s="94">
        <v>5</v>
      </c>
      <c r="I39" s="94">
        <v>5</v>
      </c>
      <c r="J39" s="94">
        <v>5</v>
      </c>
      <c r="K39" s="94">
        <v>5</v>
      </c>
      <c r="L39" s="94">
        <v>5</v>
      </c>
      <c r="M39" s="105">
        <v>5</v>
      </c>
      <c r="N39" s="57">
        <v>28</v>
      </c>
      <c r="O39" s="56">
        <v>22</v>
      </c>
    </row>
    <row r="40" spans="1:15" s="48" customFormat="1" ht="20.100000000000001" customHeight="1" x14ac:dyDescent="0.3">
      <c r="A40" s="56">
        <v>28</v>
      </c>
      <c r="B40" s="56">
        <v>0</v>
      </c>
      <c r="C40" s="56">
        <v>0</v>
      </c>
      <c r="D40" s="56">
        <v>1</v>
      </c>
      <c r="E40" s="56"/>
      <c r="F40" s="56">
        <v>4</v>
      </c>
      <c r="G40" s="56">
        <v>12</v>
      </c>
      <c r="H40" s="94">
        <v>5</v>
      </c>
      <c r="I40" s="94">
        <v>5</v>
      </c>
      <c r="J40" s="94">
        <v>5</v>
      </c>
      <c r="K40" s="94">
        <v>4</v>
      </c>
      <c r="L40" s="94">
        <v>4</v>
      </c>
      <c r="M40" s="105">
        <v>4</v>
      </c>
      <c r="N40" s="57">
        <v>31</v>
      </c>
      <c r="O40" s="56">
        <v>22</v>
      </c>
    </row>
    <row r="41" spans="1:15" s="48" customFormat="1" ht="20.100000000000001" customHeight="1" x14ac:dyDescent="0.3">
      <c r="A41" s="56">
        <v>29</v>
      </c>
      <c r="B41" s="56">
        <v>0</v>
      </c>
      <c r="C41" s="56">
        <v>0</v>
      </c>
      <c r="D41" s="56"/>
      <c r="E41" s="56"/>
      <c r="F41" s="56">
        <v>2</v>
      </c>
      <c r="G41" s="56">
        <v>12</v>
      </c>
      <c r="H41" s="94">
        <v>3</v>
      </c>
      <c r="I41" s="94">
        <v>2</v>
      </c>
      <c r="J41" s="94">
        <v>2</v>
      </c>
      <c r="K41" s="94">
        <v>2</v>
      </c>
      <c r="L41" s="94">
        <v>2</v>
      </c>
      <c r="M41" s="105">
        <v>2</v>
      </c>
      <c r="N41" s="57">
        <v>28</v>
      </c>
      <c r="O41" s="56">
        <v>22</v>
      </c>
    </row>
    <row r="42" spans="1:15" s="48" customFormat="1" ht="20.100000000000001" customHeight="1" x14ac:dyDescent="0.3">
      <c r="A42" s="56">
        <v>30</v>
      </c>
      <c r="B42" s="56">
        <v>0</v>
      </c>
      <c r="C42" s="56">
        <v>0</v>
      </c>
      <c r="D42" s="56">
        <v>1</v>
      </c>
      <c r="E42" s="56"/>
      <c r="F42" s="56">
        <v>10</v>
      </c>
      <c r="G42" s="56">
        <v>6</v>
      </c>
      <c r="H42" s="94">
        <v>5</v>
      </c>
      <c r="I42" s="94">
        <v>5</v>
      </c>
      <c r="J42" s="94">
        <v>5</v>
      </c>
      <c r="K42" s="94">
        <v>5</v>
      </c>
      <c r="L42" s="94">
        <v>4</v>
      </c>
      <c r="M42" s="105">
        <v>4</v>
      </c>
      <c r="N42" s="57">
        <v>30</v>
      </c>
      <c r="O42" s="56">
        <v>22</v>
      </c>
    </row>
    <row r="43" spans="1:15" s="48" customFormat="1" ht="20.100000000000001" customHeight="1" x14ac:dyDescent="0.3">
      <c r="A43" s="56">
        <v>31</v>
      </c>
      <c r="B43" s="56">
        <v>0</v>
      </c>
      <c r="C43" s="56">
        <v>0</v>
      </c>
      <c r="D43" s="56"/>
      <c r="E43" s="56"/>
      <c r="F43" s="56">
        <v>6</v>
      </c>
      <c r="G43" s="56">
        <v>6</v>
      </c>
      <c r="H43" s="94"/>
      <c r="I43" s="94"/>
      <c r="J43" s="94"/>
      <c r="K43" s="94"/>
      <c r="L43" s="94"/>
      <c r="M43" s="105"/>
      <c r="N43" s="57">
        <v>19</v>
      </c>
      <c r="O43" s="56">
        <v>22</v>
      </c>
    </row>
    <row r="44" spans="1:15" s="48" customFormat="1" ht="20.100000000000001" customHeight="1" x14ac:dyDescent="0.3">
      <c r="A44" s="56">
        <v>32</v>
      </c>
      <c r="B44" s="56">
        <v>0</v>
      </c>
      <c r="C44" s="56">
        <v>0</v>
      </c>
      <c r="D44" s="56">
        <v>1</v>
      </c>
      <c r="E44" s="56"/>
      <c r="F44" s="56"/>
      <c r="G44" s="56"/>
      <c r="H44" s="94">
        <v>5</v>
      </c>
      <c r="I44" s="94">
        <v>5</v>
      </c>
      <c r="J44" s="94">
        <v>5</v>
      </c>
      <c r="K44" s="94">
        <v>5</v>
      </c>
      <c r="L44" s="94">
        <v>5</v>
      </c>
      <c r="M44" s="105">
        <v>5</v>
      </c>
      <c r="N44" s="57">
        <v>28</v>
      </c>
      <c r="O44" s="56">
        <v>18</v>
      </c>
    </row>
    <row r="45" spans="1:15" s="48" customFormat="1" ht="20.100000000000001" customHeight="1" x14ac:dyDescent="0.3">
      <c r="A45" s="56">
        <v>33</v>
      </c>
      <c r="B45" s="56">
        <v>1</v>
      </c>
      <c r="C45" s="56">
        <v>10</v>
      </c>
      <c r="D45" s="56">
        <v>4</v>
      </c>
      <c r="E45" s="56"/>
      <c r="F45" s="56">
        <v>6</v>
      </c>
      <c r="G45" s="56">
        <v>4</v>
      </c>
      <c r="H45" s="94">
        <v>5</v>
      </c>
      <c r="I45" s="94">
        <v>5</v>
      </c>
      <c r="J45" s="94">
        <v>5</v>
      </c>
      <c r="K45" s="94">
        <v>5</v>
      </c>
      <c r="L45" s="94">
        <v>5</v>
      </c>
      <c r="M45" s="105">
        <v>5</v>
      </c>
      <c r="N45" s="57">
        <v>28</v>
      </c>
      <c r="O45" s="56">
        <v>22</v>
      </c>
    </row>
    <row r="46" spans="1:15" s="48" customFormat="1" ht="20.100000000000001" customHeight="1" x14ac:dyDescent="0.3">
      <c r="A46" s="56">
        <v>34</v>
      </c>
      <c r="B46" s="56">
        <v>0</v>
      </c>
      <c r="C46" s="56">
        <v>6</v>
      </c>
      <c r="D46" s="56">
        <v>1</v>
      </c>
      <c r="E46" s="56"/>
      <c r="F46" s="56">
        <v>2</v>
      </c>
      <c r="G46" s="56">
        <v>6</v>
      </c>
      <c r="H46" s="94">
        <v>5</v>
      </c>
      <c r="I46" s="94">
        <v>5</v>
      </c>
      <c r="J46" s="94">
        <v>5</v>
      </c>
      <c r="K46" s="94">
        <v>5</v>
      </c>
      <c r="L46" s="94">
        <v>5</v>
      </c>
      <c r="M46" s="105">
        <v>5</v>
      </c>
      <c r="N46" s="57">
        <v>30</v>
      </c>
      <c r="O46" s="56">
        <v>16</v>
      </c>
    </row>
    <row r="47" spans="1:15" s="48" customFormat="1" ht="20.100000000000001" customHeight="1" x14ac:dyDescent="0.3">
      <c r="A47" s="56">
        <v>35</v>
      </c>
      <c r="B47" s="56">
        <v>0</v>
      </c>
      <c r="C47" s="56">
        <v>0</v>
      </c>
      <c r="D47" s="56">
        <v>4</v>
      </c>
      <c r="E47" s="56">
        <v>8</v>
      </c>
      <c r="F47" s="56">
        <v>2</v>
      </c>
      <c r="G47" s="56">
        <v>6</v>
      </c>
      <c r="H47" s="94">
        <v>5</v>
      </c>
      <c r="I47" s="94">
        <v>5</v>
      </c>
      <c r="J47" s="94">
        <v>5</v>
      </c>
      <c r="K47" s="94">
        <v>5</v>
      </c>
      <c r="L47" s="94">
        <v>5</v>
      </c>
      <c r="M47" s="105">
        <v>5</v>
      </c>
      <c r="N47" s="57">
        <v>36</v>
      </c>
      <c r="O47" s="56">
        <v>22</v>
      </c>
    </row>
    <row r="48" spans="1:15" s="48" customFormat="1" ht="20.100000000000001" customHeight="1" x14ac:dyDescent="0.3">
      <c r="A48" s="56">
        <v>36</v>
      </c>
      <c r="B48" s="56">
        <v>2</v>
      </c>
      <c r="C48" s="56">
        <v>6</v>
      </c>
      <c r="D48" s="56">
        <v>4</v>
      </c>
      <c r="E48" s="56">
        <v>8</v>
      </c>
      <c r="F48" s="56">
        <v>4</v>
      </c>
      <c r="G48" s="56">
        <v>4</v>
      </c>
      <c r="H48" s="94">
        <v>5</v>
      </c>
      <c r="I48" s="94">
        <v>5</v>
      </c>
      <c r="J48" s="94">
        <v>4</v>
      </c>
      <c r="K48" s="94">
        <v>4</v>
      </c>
      <c r="L48" s="94">
        <v>5</v>
      </c>
      <c r="M48" s="105">
        <v>4</v>
      </c>
      <c r="N48" s="57">
        <v>49</v>
      </c>
      <c r="O48" s="56">
        <v>21</v>
      </c>
    </row>
    <row r="49" spans="1:15" s="48" customFormat="1" ht="20.100000000000001" customHeight="1" x14ac:dyDescent="0.3">
      <c r="A49" s="56">
        <v>37</v>
      </c>
      <c r="B49" s="56">
        <v>0</v>
      </c>
      <c r="C49" s="56">
        <v>4</v>
      </c>
      <c r="D49" s="56">
        <v>4</v>
      </c>
      <c r="E49" s="56">
        <v>2</v>
      </c>
      <c r="F49" s="56">
        <v>4</v>
      </c>
      <c r="G49" s="56"/>
      <c r="H49" s="94">
        <v>4</v>
      </c>
      <c r="I49" s="94">
        <v>4</v>
      </c>
      <c r="J49" s="94">
        <v>5</v>
      </c>
      <c r="K49" s="94">
        <v>4</v>
      </c>
      <c r="L49" s="94">
        <v>4</v>
      </c>
      <c r="M49" s="105">
        <v>5</v>
      </c>
      <c r="N49" s="57">
        <v>37</v>
      </c>
      <c r="O49" s="56">
        <v>18</v>
      </c>
    </row>
    <row r="50" spans="1:15" s="48" customFormat="1" ht="20.100000000000001" customHeight="1" x14ac:dyDescent="0.3">
      <c r="A50" s="56">
        <v>38</v>
      </c>
      <c r="B50" s="56">
        <v>0</v>
      </c>
      <c r="C50" s="56">
        <v>0</v>
      </c>
      <c r="D50" s="56"/>
      <c r="E50" s="56">
        <v>2</v>
      </c>
      <c r="F50" s="56">
        <v>6</v>
      </c>
      <c r="G50" s="56">
        <v>6</v>
      </c>
      <c r="H50" s="94"/>
      <c r="I50" s="94"/>
      <c r="J50" s="94"/>
      <c r="K50" s="94"/>
      <c r="L50" s="94"/>
      <c r="M50" s="105"/>
      <c r="N50" s="57">
        <v>39</v>
      </c>
      <c r="O50" s="56">
        <v>22</v>
      </c>
    </row>
    <row r="51" spans="1:15" s="48" customFormat="1" ht="20.100000000000001" customHeight="1" x14ac:dyDescent="0.3">
      <c r="A51" s="56">
        <v>39</v>
      </c>
      <c r="B51" s="56">
        <v>4</v>
      </c>
      <c r="C51" s="56">
        <v>18</v>
      </c>
      <c r="D51" s="56">
        <v>1</v>
      </c>
      <c r="E51" s="56">
        <v>2</v>
      </c>
      <c r="F51" s="56">
        <v>0</v>
      </c>
      <c r="G51" s="56"/>
      <c r="H51" s="94">
        <v>4</v>
      </c>
      <c r="I51" s="94">
        <v>4</v>
      </c>
      <c r="J51" s="94">
        <v>4</v>
      </c>
      <c r="K51" s="94">
        <v>4</v>
      </c>
      <c r="L51" s="94">
        <v>4</v>
      </c>
      <c r="M51" s="105">
        <v>4</v>
      </c>
      <c r="N51" s="57">
        <v>30</v>
      </c>
      <c r="O51" s="56">
        <v>15</v>
      </c>
    </row>
    <row r="52" spans="1:15" s="48" customFormat="1" ht="20.100000000000001" customHeight="1" x14ac:dyDescent="0.3">
      <c r="A52" s="56">
        <v>40</v>
      </c>
      <c r="B52" s="56">
        <v>4</v>
      </c>
      <c r="C52" s="56">
        <v>14</v>
      </c>
      <c r="D52" s="56">
        <v>4</v>
      </c>
      <c r="E52" s="56">
        <v>6</v>
      </c>
      <c r="F52" s="56">
        <v>4</v>
      </c>
      <c r="G52" s="56">
        <v>2</v>
      </c>
      <c r="H52" s="94"/>
      <c r="I52" s="94"/>
      <c r="J52" s="94"/>
      <c r="K52" s="94"/>
      <c r="L52" s="94"/>
      <c r="M52" s="105"/>
      <c r="N52" s="57">
        <v>28</v>
      </c>
      <c r="O52" s="56">
        <v>22</v>
      </c>
    </row>
    <row r="53" spans="1:15" s="48" customFormat="1" ht="20.100000000000001" customHeight="1" x14ac:dyDescent="0.3">
      <c r="A53" s="56">
        <v>41</v>
      </c>
      <c r="B53" s="56">
        <v>0</v>
      </c>
      <c r="C53" s="56">
        <v>4</v>
      </c>
      <c r="D53" s="56"/>
      <c r="E53" s="56">
        <v>8</v>
      </c>
      <c r="F53" s="56">
        <v>4</v>
      </c>
      <c r="G53" s="56">
        <v>2</v>
      </c>
      <c r="H53" s="94">
        <v>5</v>
      </c>
      <c r="I53" s="94">
        <v>5</v>
      </c>
      <c r="J53" s="94">
        <v>5</v>
      </c>
      <c r="K53" s="94">
        <v>5</v>
      </c>
      <c r="L53" s="94">
        <v>5</v>
      </c>
      <c r="M53" s="105">
        <v>5</v>
      </c>
      <c r="N53" s="57">
        <v>30</v>
      </c>
      <c r="O53" s="56">
        <v>21</v>
      </c>
    </row>
    <row r="54" spans="1:15" s="48" customFormat="1" ht="20.100000000000001" customHeight="1" x14ac:dyDescent="0.3">
      <c r="A54" s="56">
        <v>42</v>
      </c>
      <c r="B54" s="56">
        <v>1</v>
      </c>
      <c r="C54" s="56">
        <v>4</v>
      </c>
      <c r="D54" s="56"/>
      <c r="E54" s="56">
        <v>8</v>
      </c>
      <c r="F54" s="56">
        <v>6</v>
      </c>
      <c r="G54" s="56">
        <v>6</v>
      </c>
      <c r="H54" s="94">
        <v>5</v>
      </c>
      <c r="I54" s="94">
        <v>5</v>
      </c>
      <c r="J54" s="94">
        <v>5</v>
      </c>
      <c r="K54" s="94">
        <v>5</v>
      </c>
      <c r="L54" s="94">
        <v>5</v>
      </c>
      <c r="M54" s="105">
        <v>5</v>
      </c>
      <c r="N54" s="57">
        <v>29</v>
      </c>
      <c r="O54" s="56">
        <v>21</v>
      </c>
    </row>
    <row r="55" spans="1:15" s="48" customFormat="1" ht="20.100000000000001" customHeight="1" x14ac:dyDescent="0.3">
      <c r="A55" s="56">
        <v>43</v>
      </c>
      <c r="B55" s="56">
        <v>5</v>
      </c>
      <c r="C55" s="56">
        <v>6</v>
      </c>
      <c r="D55" s="56"/>
      <c r="E55" s="56">
        <v>8</v>
      </c>
      <c r="F55" s="56">
        <v>6</v>
      </c>
      <c r="G55" s="56">
        <v>6</v>
      </c>
      <c r="H55" s="94">
        <v>5</v>
      </c>
      <c r="I55" s="94">
        <v>5</v>
      </c>
      <c r="J55" s="94">
        <v>5</v>
      </c>
      <c r="K55" s="94">
        <v>5</v>
      </c>
      <c r="L55" s="94">
        <v>5</v>
      </c>
      <c r="M55" s="105">
        <v>5</v>
      </c>
      <c r="N55" s="57">
        <v>36</v>
      </c>
      <c r="O55" s="56">
        <v>22</v>
      </c>
    </row>
    <row r="56" spans="1:15" s="48" customFormat="1" ht="20.100000000000001" customHeight="1" x14ac:dyDescent="0.3">
      <c r="A56" s="56">
        <v>44</v>
      </c>
      <c r="B56" s="56">
        <v>3</v>
      </c>
      <c r="C56" s="56">
        <v>14</v>
      </c>
      <c r="D56" s="56">
        <v>4</v>
      </c>
      <c r="E56" s="56">
        <v>8</v>
      </c>
      <c r="F56" s="56">
        <v>6</v>
      </c>
      <c r="G56" s="56">
        <v>6</v>
      </c>
      <c r="H56" s="94"/>
      <c r="I56" s="94"/>
      <c r="J56" s="94"/>
      <c r="K56" s="94"/>
      <c r="L56" s="94"/>
      <c r="M56" s="105"/>
      <c r="N56" s="57">
        <v>28</v>
      </c>
      <c r="O56" s="56">
        <v>22</v>
      </c>
    </row>
    <row r="57" spans="1:15" s="48" customFormat="1" ht="20.100000000000001" customHeight="1" x14ac:dyDescent="0.3">
      <c r="A57" s="56">
        <v>45</v>
      </c>
      <c r="B57" s="56">
        <v>0</v>
      </c>
      <c r="C57" s="56">
        <v>1</v>
      </c>
      <c r="D57" s="56">
        <v>2</v>
      </c>
      <c r="E57" s="56">
        <v>8</v>
      </c>
      <c r="F57" s="56">
        <v>4</v>
      </c>
      <c r="G57" s="56">
        <v>6</v>
      </c>
      <c r="H57" s="94">
        <v>5</v>
      </c>
      <c r="I57" s="94">
        <v>5</v>
      </c>
      <c r="J57" s="94">
        <v>5</v>
      </c>
      <c r="K57" s="94">
        <v>5</v>
      </c>
      <c r="L57" s="94">
        <v>5</v>
      </c>
      <c r="M57" s="105">
        <v>5</v>
      </c>
      <c r="N57" s="57">
        <v>39</v>
      </c>
      <c r="O57" s="56">
        <v>22</v>
      </c>
    </row>
    <row r="58" spans="1:15" s="48" customFormat="1" ht="20.100000000000001" customHeight="1" x14ac:dyDescent="0.3">
      <c r="A58" s="56">
        <v>46</v>
      </c>
      <c r="B58" s="56">
        <v>3</v>
      </c>
      <c r="C58" s="56">
        <v>10</v>
      </c>
      <c r="D58" s="56">
        <v>3</v>
      </c>
      <c r="E58" s="56"/>
      <c r="F58" s="56">
        <v>0</v>
      </c>
      <c r="G58" s="56"/>
      <c r="H58" s="94">
        <v>5</v>
      </c>
      <c r="I58" s="94">
        <v>5</v>
      </c>
      <c r="J58" s="94">
        <v>5</v>
      </c>
      <c r="K58" s="94">
        <v>5</v>
      </c>
      <c r="L58" s="94">
        <v>5</v>
      </c>
      <c r="M58" s="105">
        <v>5</v>
      </c>
      <c r="N58" s="57">
        <v>28</v>
      </c>
      <c r="O58" s="56">
        <v>11</v>
      </c>
    </row>
    <row r="59" spans="1:15" s="48" customFormat="1" ht="20.100000000000001" customHeight="1" x14ac:dyDescent="0.3">
      <c r="A59" s="56">
        <v>47</v>
      </c>
      <c r="B59" s="56">
        <v>6</v>
      </c>
      <c r="C59" s="56">
        <v>18</v>
      </c>
      <c r="D59" s="56">
        <v>4</v>
      </c>
      <c r="E59" s="56"/>
      <c r="F59" s="56">
        <v>0</v>
      </c>
      <c r="G59" s="56"/>
      <c r="H59" s="94">
        <v>5</v>
      </c>
      <c r="I59" s="94">
        <v>5</v>
      </c>
      <c r="J59" s="94">
        <v>5</v>
      </c>
      <c r="K59" s="94">
        <v>5</v>
      </c>
      <c r="L59" s="94">
        <v>5</v>
      </c>
      <c r="M59" s="105">
        <v>5</v>
      </c>
      <c r="N59" s="57">
        <v>12</v>
      </c>
      <c r="O59" s="56">
        <v>11</v>
      </c>
    </row>
    <row r="60" spans="1:15" s="48" customFormat="1" ht="20.100000000000001" customHeight="1" x14ac:dyDescent="0.3">
      <c r="A60" s="56">
        <v>48</v>
      </c>
      <c r="B60" s="56">
        <v>0</v>
      </c>
      <c r="C60" s="56">
        <v>2</v>
      </c>
      <c r="D60" s="56"/>
      <c r="E60" s="56"/>
      <c r="F60" s="56">
        <v>2</v>
      </c>
      <c r="G60" s="56"/>
      <c r="H60" s="94">
        <v>5</v>
      </c>
      <c r="I60" s="94">
        <v>5</v>
      </c>
      <c r="J60" s="94">
        <v>5</v>
      </c>
      <c r="K60" s="94">
        <v>5</v>
      </c>
      <c r="L60" s="94">
        <v>5</v>
      </c>
      <c r="M60" s="105">
        <v>5</v>
      </c>
      <c r="N60" s="57">
        <v>30</v>
      </c>
      <c r="O60" s="56">
        <v>19</v>
      </c>
    </row>
    <row r="61" spans="1:15" s="48" customFormat="1" ht="20.100000000000001" customHeight="1" x14ac:dyDescent="0.3">
      <c r="A61" s="56">
        <v>49</v>
      </c>
      <c r="B61" s="56">
        <v>0</v>
      </c>
      <c r="C61" s="56">
        <v>1</v>
      </c>
      <c r="D61" s="56">
        <v>3</v>
      </c>
      <c r="E61" s="56"/>
      <c r="F61" s="56">
        <v>2</v>
      </c>
      <c r="G61" s="56">
        <v>2</v>
      </c>
      <c r="H61" s="94">
        <v>5</v>
      </c>
      <c r="I61" s="94">
        <v>4</v>
      </c>
      <c r="J61" s="94">
        <v>5</v>
      </c>
      <c r="K61" s="94">
        <v>4</v>
      </c>
      <c r="L61" s="94">
        <v>5</v>
      </c>
      <c r="M61" s="105">
        <v>4</v>
      </c>
      <c r="N61" s="57">
        <v>29</v>
      </c>
      <c r="O61" s="56">
        <v>21</v>
      </c>
    </row>
    <row r="62" spans="1:15" s="48" customFormat="1" ht="20.100000000000001" customHeight="1" x14ac:dyDescent="0.3">
      <c r="A62" s="56">
        <v>50</v>
      </c>
      <c r="B62" s="56">
        <v>3</v>
      </c>
      <c r="C62" s="56">
        <v>2</v>
      </c>
      <c r="D62" s="56">
        <v>1</v>
      </c>
      <c r="E62" s="56"/>
      <c r="F62" s="56">
        <v>6</v>
      </c>
      <c r="G62" s="56">
        <v>2</v>
      </c>
      <c r="H62" s="94">
        <v>5</v>
      </c>
      <c r="I62" s="94">
        <v>5</v>
      </c>
      <c r="J62" s="94">
        <v>4</v>
      </c>
      <c r="K62" s="94">
        <v>5</v>
      </c>
      <c r="L62" s="94">
        <v>4</v>
      </c>
      <c r="M62" s="105">
        <v>5</v>
      </c>
      <c r="N62" s="57">
        <v>24</v>
      </c>
      <c r="O62" s="56">
        <v>17</v>
      </c>
    </row>
    <row r="63" spans="1:15" s="48" customFormat="1" ht="20.100000000000001" customHeight="1" x14ac:dyDescent="0.3">
      <c r="A63" s="56">
        <v>51</v>
      </c>
      <c r="B63" s="56">
        <v>4</v>
      </c>
      <c r="C63" s="56">
        <v>15</v>
      </c>
      <c r="D63" s="56">
        <v>4</v>
      </c>
      <c r="E63" s="56"/>
      <c r="F63" s="56">
        <v>6</v>
      </c>
      <c r="G63" s="56">
        <v>2</v>
      </c>
      <c r="H63" s="94"/>
      <c r="I63" s="94"/>
      <c r="J63" s="94"/>
      <c r="K63" s="94"/>
      <c r="L63" s="94"/>
      <c r="M63" s="105"/>
      <c r="N63" s="57">
        <v>28</v>
      </c>
      <c r="O63" s="56">
        <v>22</v>
      </c>
    </row>
    <row r="64" spans="1:15" s="48" customFormat="1" ht="20.100000000000001" customHeight="1" x14ac:dyDescent="0.3">
      <c r="A64" s="56">
        <v>52</v>
      </c>
      <c r="B64" s="56">
        <v>0</v>
      </c>
      <c r="C64" s="56">
        <v>6</v>
      </c>
      <c r="D64" s="56">
        <v>4</v>
      </c>
      <c r="E64" s="56"/>
      <c r="F64" s="56">
        <v>2</v>
      </c>
      <c r="G64" s="56"/>
      <c r="H64" s="94">
        <v>5</v>
      </c>
      <c r="I64" s="94">
        <v>5</v>
      </c>
      <c r="J64" s="94">
        <v>5</v>
      </c>
      <c r="K64" s="94">
        <v>5</v>
      </c>
      <c r="L64" s="94">
        <v>5</v>
      </c>
      <c r="M64" s="105">
        <v>5</v>
      </c>
      <c r="N64" s="57">
        <v>44</v>
      </c>
      <c r="O64" s="56">
        <v>20</v>
      </c>
    </row>
    <row r="65" spans="1:15" s="48" customFormat="1" ht="20.100000000000001" customHeight="1" x14ac:dyDescent="0.3">
      <c r="A65" s="56">
        <v>53</v>
      </c>
      <c r="B65" s="56">
        <v>0</v>
      </c>
      <c r="C65" s="56">
        <v>4</v>
      </c>
      <c r="D65" s="56">
        <v>4</v>
      </c>
      <c r="E65" s="56"/>
      <c r="F65" s="56"/>
      <c r="G65" s="56"/>
      <c r="H65" s="94">
        <v>5</v>
      </c>
      <c r="I65" s="94">
        <v>5</v>
      </c>
      <c r="J65" s="94">
        <v>5</v>
      </c>
      <c r="K65" s="94">
        <v>5</v>
      </c>
      <c r="L65" s="94">
        <v>5</v>
      </c>
      <c r="M65" s="105">
        <v>5</v>
      </c>
      <c r="N65" s="57">
        <v>20</v>
      </c>
      <c r="O65" s="56">
        <v>11</v>
      </c>
    </row>
    <row r="66" spans="1:15" s="48" customFormat="1" ht="20.100000000000001" customHeight="1" x14ac:dyDescent="0.3">
      <c r="A66" s="56">
        <v>54</v>
      </c>
      <c r="B66" s="56">
        <v>0</v>
      </c>
      <c r="C66" s="56">
        <v>18</v>
      </c>
      <c r="D66" s="56"/>
      <c r="E66" s="56"/>
      <c r="F66" s="56">
        <v>6</v>
      </c>
      <c r="G66" s="56"/>
      <c r="H66" s="94">
        <v>5</v>
      </c>
      <c r="I66" s="94">
        <v>5</v>
      </c>
      <c r="J66" s="94">
        <v>5</v>
      </c>
      <c r="K66" s="94">
        <v>5</v>
      </c>
      <c r="L66" s="94">
        <v>5</v>
      </c>
      <c r="M66" s="105">
        <v>5</v>
      </c>
      <c r="N66" s="57">
        <v>28</v>
      </c>
      <c r="O66" s="56">
        <v>16</v>
      </c>
    </row>
    <row r="67" spans="1:15" s="48" customFormat="1" ht="20.100000000000001" customHeight="1" x14ac:dyDescent="0.3">
      <c r="A67" s="56">
        <v>55</v>
      </c>
      <c r="B67" s="56">
        <v>1</v>
      </c>
      <c r="C67" s="56">
        <v>18</v>
      </c>
      <c r="D67" s="56">
        <v>3</v>
      </c>
      <c r="E67" s="56"/>
      <c r="F67" s="56">
        <v>0</v>
      </c>
      <c r="G67" s="56"/>
      <c r="H67" s="94">
        <v>5</v>
      </c>
      <c r="I67" s="94">
        <v>5</v>
      </c>
      <c r="J67" s="94">
        <v>5</v>
      </c>
      <c r="K67" s="94">
        <v>5</v>
      </c>
      <c r="L67" s="94">
        <v>5</v>
      </c>
      <c r="M67" s="105">
        <v>5</v>
      </c>
      <c r="N67" s="57">
        <v>32</v>
      </c>
      <c r="O67" s="56">
        <v>16</v>
      </c>
    </row>
    <row r="68" spans="1:15" s="48" customFormat="1" ht="20.100000000000001" customHeight="1" x14ac:dyDescent="0.3">
      <c r="A68" s="56">
        <v>56</v>
      </c>
      <c r="B68" s="56">
        <v>1</v>
      </c>
      <c r="C68" s="56">
        <v>18</v>
      </c>
      <c r="D68" s="56"/>
      <c r="E68" s="56"/>
      <c r="F68" s="56"/>
      <c r="G68" s="56"/>
      <c r="H68" s="94">
        <v>5</v>
      </c>
      <c r="I68" s="94">
        <v>5</v>
      </c>
      <c r="J68" s="94">
        <v>5</v>
      </c>
      <c r="K68" s="94">
        <v>5</v>
      </c>
      <c r="L68" s="94">
        <v>5</v>
      </c>
      <c r="M68" s="105">
        <v>5</v>
      </c>
      <c r="N68" s="57">
        <v>32</v>
      </c>
      <c r="O68" s="56">
        <v>18</v>
      </c>
    </row>
    <row r="69" spans="1:15" s="48" customFormat="1" ht="20.100000000000001" customHeight="1" x14ac:dyDescent="0.3">
      <c r="A69" s="56">
        <v>57</v>
      </c>
      <c r="B69" s="56">
        <v>2</v>
      </c>
      <c r="C69" s="56">
        <v>18</v>
      </c>
      <c r="D69" s="56">
        <v>4</v>
      </c>
      <c r="E69" s="56"/>
      <c r="F69" s="56">
        <v>4</v>
      </c>
      <c r="G69" s="56"/>
      <c r="H69" s="94">
        <v>5</v>
      </c>
      <c r="I69" s="94">
        <v>5</v>
      </c>
      <c r="J69" s="94">
        <v>5</v>
      </c>
      <c r="K69" s="94">
        <v>5</v>
      </c>
      <c r="L69" s="94">
        <v>5</v>
      </c>
      <c r="M69" s="105">
        <v>5</v>
      </c>
      <c r="N69" s="57">
        <v>19</v>
      </c>
      <c r="O69" s="56">
        <v>14</v>
      </c>
    </row>
    <row r="70" spans="1:15" s="48" customFormat="1" ht="20.100000000000001" customHeight="1" x14ac:dyDescent="0.3">
      <c r="A70" s="56">
        <v>58</v>
      </c>
      <c r="B70" s="56">
        <v>4</v>
      </c>
      <c r="C70" s="56">
        <v>10</v>
      </c>
      <c r="D70" s="56"/>
      <c r="E70" s="56"/>
      <c r="F70" s="56">
        <v>2</v>
      </c>
      <c r="G70" s="56">
        <v>2</v>
      </c>
      <c r="H70" s="94">
        <v>5</v>
      </c>
      <c r="I70" s="94">
        <v>5</v>
      </c>
      <c r="J70" s="94">
        <v>5</v>
      </c>
      <c r="K70" s="94">
        <v>5</v>
      </c>
      <c r="L70" s="94">
        <v>5</v>
      </c>
      <c r="M70" s="105">
        <v>5</v>
      </c>
      <c r="N70" s="57">
        <v>29</v>
      </c>
      <c r="O70" s="56">
        <v>20</v>
      </c>
    </row>
    <row r="71" spans="1:15" s="48" customFormat="1" ht="20.100000000000001" customHeight="1" x14ac:dyDescent="0.3">
      <c r="A71" s="56">
        <v>59</v>
      </c>
      <c r="B71" s="56">
        <v>0</v>
      </c>
      <c r="C71" s="56">
        <v>0</v>
      </c>
      <c r="D71" s="56"/>
      <c r="E71" s="56"/>
      <c r="F71" s="56">
        <v>4</v>
      </c>
      <c r="G71" s="56">
        <v>2</v>
      </c>
      <c r="H71" s="94"/>
      <c r="I71" s="94"/>
      <c r="J71" s="94"/>
      <c r="K71" s="94"/>
      <c r="L71" s="94"/>
      <c r="M71" s="105"/>
      <c r="N71" s="57">
        <v>36</v>
      </c>
      <c r="O71" s="56">
        <v>22</v>
      </c>
    </row>
    <row r="72" spans="1:15" s="48" customFormat="1" ht="20.100000000000001" customHeight="1" x14ac:dyDescent="0.3">
      <c r="A72" s="56">
        <v>60</v>
      </c>
      <c r="B72" s="56">
        <v>4</v>
      </c>
      <c r="C72" s="56">
        <v>7</v>
      </c>
      <c r="D72" s="56">
        <v>4</v>
      </c>
      <c r="E72" s="56">
        <v>2</v>
      </c>
      <c r="F72" s="56">
        <v>4</v>
      </c>
      <c r="G72" s="56">
        <v>2</v>
      </c>
      <c r="H72" s="94"/>
      <c r="I72" s="94"/>
      <c r="J72" s="94"/>
      <c r="K72" s="94"/>
      <c r="L72" s="94"/>
      <c r="M72" s="105"/>
      <c r="N72" s="57">
        <v>37</v>
      </c>
      <c r="O72" s="56">
        <v>16</v>
      </c>
    </row>
    <row r="73" spans="1:15" s="48" customFormat="1" ht="20.100000000000001" customHeight="1" x14ac:dyDescent="0.3">
      <c r="A73" s="56">
        <v>61</v>
      </c>
      <c r="B73" s="56">
        <v>5</v>
      </c>
      <c r="C73" s="56">
        <v>14</v>
      </c>
      <c r="D73" s="56">
        <v>4</v>
      </c>
      <c r="E73" s="56">
        <v>8</v>
      </c>
      <c r="F73" s="56">
        <v>6</v>
      </c>
      <c r="G73" s="56"/>
      <c r="H73" s="94">
        <v>5</v>
      </c>
      <c r="I73" s="94">
        <v>5</v>
      </c>
      <c r="J73" s="94">
        <v>5</v>
      </c>
      <c r="K73" s="94">
        <v>5</v>
      </c>
      <c r="L73" s="94">
        <v>5</v>
      </c>
      <c r="M73" s="105">
        <v>5</v>
      </c>
      <c r="N73" s="57">
        <v>38</v>
      </c>
      <c r="O73" s="56">
        <v>20</v>
      </c>
    </row>
    <row r="74" spans="1:15" x14ac:dyDescent="0.25">
      <c r="A74" s="56">
        <v>62</v>
      </c>
      <c r="B74" s="56">
        <v>3</v>
      </c>
      <c r="C74" s="56">
        <v>16</v>
      </c>
      <c r="D74" s="56">
        <v>2</v>
      </c>
      <c r="E74" s="56">
        <v>8</v>
      </c>
      <c r="F74" s="56">
        <v>8</v>
      </c>
      <c r="G74" s="56"/>
      <c r="H74" s="94"/>
      <c r="I74" s="94"/>
      <c r="J74" s="94"/>
      <c r="K74" s="94"/>
      <c r="L74" s="94"/>
      <c r="M74" s="105"/>
      <c r="N74" s="57">
        <v>30</v>
      </c>
      <c r="O74" s="56">
        <v>22</v>
      </c>
    </row>
    <row r="75" spans="1:15" x14ac:dyDescent="0.25">
      <c r="A75" s="56">
        <v>63</v>
      </c>
      <c r="B75" s="56">
        <v>1</v>
      </c>
      <c r="C75" s="56">
        <v>6</v>
      </c>
      <c r="D75" s="56">
        <v>4</v>
      </c>
      <c r="E75" s="56">
        <v>8</v>
      </c>
      <c r="F75" s="56">
        <v>4</v>
      </c>
      <c r="G75" s="56"/>
      <c r="H75" s="94">
        <v>5</v>
      </c>
      <c r="I75" s="94">
        <v>5</v>
      </c>
      <c r="J75" s="94">
        <v>5</v>
      </c>
      <c r="K75" s="94">
        <v>5</v>
      </c>
      <c r="L75" s="94">
        <v>5</v>
      </c>
      <c r="M75" s="105">
        <v>5</v>
      </c>
      <c r="N75" s="57">
        <v>28</v>
      </c>
      <c r="O75" s="56">
        <v>18</v>
      </c>
    </row>
    <row r="76" spans="1:15" x14ac:dyDescent="0.25">
      <c r="A76" s="56">
        <v>64</v>
      </c>
      <c r="B76" s="56">
        <v>4</v>
      </c>
      <c r="C76" s="56">
        <v>3</v>
      </c>
      <c r="D76" s="56">
        <v>4</v>
      </c>
      <c r="E76" s="56"/>
      <c r="F76" s="56"/>
      <c r="G76" s="56">
        <v>4</v>
      </c>
      <c r="H76" s="94">
        <v>5</v>
      </c>
      <c r="I76" s="94">
        <v>5</v>
      </c>
      <c r="J76" s="94">
        <v>5</v>
      </c>
      <c r="K76" s="94">
        <v>5</v>
      </c>
      <c r="L76" s="94">
        <v>5</v>
      </c>
      <c r="M76" s="105">
        <v>5</v>
      </c>
      <c r="N76" s="57">
        <v>2</v>
      </c>
      <c r="O76" s="56">
        <v>15</v>
      </c>
    </row>
    <row r="77" spans="1:15" x14ac:dyDescent="0.25">
      <c r="A77" s="56">
        <v>65</v>
      </c>
      <c r="B77" s="56">
        <v>4</v>
      </c>
      <c r="C77" s="56">
        <v>3</v>
      </c>
      <c r="D77" s="56"/>
      <c r="E77" s="56"/>
      <c r="F77" s="56"/>
      <c r="G77" s="56">
        <v>2</v>
      </c>
      <c r="H77" s="94">
        <v>5</v>
      </c>
      <c r="I77" s="94">
        <v>5</v>
      </c>
      <c r="J77" s="94">
        <v>5</v>
      </c>
      <c r="K77" s="94">
        <v>5</v>
      </c>
      <c r="L77" s="94">
        <v>5</v>
      </c>
      <c r="M77" s="105">
        <v>5</v>
      </c>
      <c r="N77" s="57">
        <v>13</v>
      </c>
      <c r="O77" s="56">
        <v>11</v>
      </c>
    </row>
    <row r="78" spans="1:15" x14ac:dyDescent="0.25">
      <c r="A78" s="56">
        <v>66</v>
      </c>
      <c r="B78" s="56">
        <v>0</v>
      </c>
      <c r="C78" s="56">
        <v>14</v>
      </c>
      <c r="D78" s="56">
        <v>4</v>
      </c>
      <c r="E78" s="56"/>
      <c r="F78" s="56"/>
      <c r="G78" s="56"/>
      <c r="H78" s="94">
        <v>5</v>
      </c>
      <c r="I78" s="94">
        <v>5</v>
      </c>
      <c r="J78" s="94">
        <v>5</v>
      </c>
      <c r="K78" s="94">
        <v>5</v>
      </c>
      <c r="L78" s="94">
        <v>5</v>
      </c>
      <c r="M78" s="105">
        <v>5</v>
      </c>
      <c r="N78" s="57">
        <v>18</v>
      </c>
      <c r="O78" s="56">
        <v>20</v>
      </c>
    </row>
    <row r="79" spans="1:15" x14ac:dyDescent="0.25">
      <c r="A79" s="56">
        <v>67</v>
      </c>
      <c r="B79" s="56">
        <v>0</v>
      </c>
      <c r="C79" s="56">
        <v>9</v>
      </c>
      <c r="D79" s="56"/>
      <c r="E79" s="56"/>
      <c r="F79" s="56"/>
      <c r="G79" s="56"/>
      <c r="H79" s="94">
        <v>5</v>
      </c>
      <c r="I79" s="94">
        <v>5</v>
      </c>
      <c r="J79" s="94">
        <v>5</v>
      </c>
      <c r="K79" s="94">
        <v>5</v>
      </c>
      <c r="L79" s="94">
        <v>5</v>
      </c>
      <c r="M79" s="105">
        <v>5</v>
      </c>
      <c r="N79" s="57">
        <v>33</v>
      </c>
      <c r="O79" s="56">
        <v>22</v>
      </c>
    </row>
    <row r="80" spans="1:15" x14ac:dyDescent="0.25">
      <c r="A80" s="56">
        <v>68</v>
      </c>
      <c r="B80" s="56">
        <v>0</v>
      </c>
      <c r="C80" s="56">
        <v>10</v>
      </c>
      <c r="D80" s="56">
        <v>4</v>
      </c>
      <c r="E80" s="56"/>
      <c r="F80" s="56">
        <v>8</v>
      </c>
      <c r="G80" s="56"/>
      <c r="H80" s="94"/>
      <c r="I80" s="94"/>
      <c r="J80" s="94"/>
      <c r="K80" s="94"/>
      <c r="L80" s="94"/>
      <c r="M80" s="105"/>
      <c r="N80" s="57">
        <v>4</v>
      </c>
      <c r="O80" s="56">
        <v>11</v>
      </c>
    </row>
    <row r="81" spans="1:15" x14ac:dyDescent="0.25">
      <c r="A81" s="56">
        <v>69</v>
      </c>
      <c r="B81" s="56">
        <v>0</v>
      </c>
      <c r="C81" s="56">
        <v>10</v>
      </c>
      <c r="D81" s="56">
        <v>4</v>
      </c>
      <c r="E81" s="56"/>
      <c r="F81" s="56"/>
      <c r="G81" s="56"/>
      <c r="H81" s="94">
        <v>5</v>
      </c>
      <c r="I81" s="94">
        <v>5</v>
      </c>
      <c r="J81" s="94">
        <v>5</v>
      </c>
      <c r="K81" s="94">
        <v>5</v>
      </c>
      <c r="L81" s="94">
        <v>5</v>
      </c>
      <c r="M81" s="105">
        <v>5</v>
      </c>
      <c r="N81" s="57">
        <v>33</v>
      </c>
      <c r="O81" s="56">
        <v>22</v>
      </c>
    </row>
    <row r="82" spans="1:15" x14ac:dyDescent="0.25">
      <c r="A82" s="56">
        <v>70</v>
      </c>
      <c r="B82" s="56">
        <v>0</v>
      </c>
      <c r="C82" s="56">
        <v>10</v>
      </c>
      <c r="D82" s="56">
        <v>1</v>
      </c>
      <c r="E82" s="56">
        <v>2</v>
      </c>
      <c r="F82" s="56">
        <v>8</v>
      </c>
      <c r="G82" s="56">
        <v>2</v>
      </c>
      <c r="H82" s="94">
        <v>5</v>
      </c>
      <c r="I82" s="94">
        <v>5</v>
      </c>
      <c r="J82" s="94">
        <v>5</v>
      </c>
      <c r="K82" s="94">
        <v>5</v>
      </c>
      <c r="L82" s="94">
        <v>5</v>
      </c>
      <c r="M82" s="105">
        <v>5</v>
      </c>
      <c r="N82" s="57">
        <v>31</v>
      </c>
      <c r="O82" s="56">
        <v>22</v>
      </c>
    </row>
    <row r="83" spans="1:15" x14ac:dyDescent="0.25">
      <c r="A83" s="56">
        <v>71</v>
      </c>
      <c r="B83" s="56">
        <v>1</v>
      </c>
      <c r="C83" s="56">
        <v>10</v>
      </c>
      <c r="D83" s="56">
        <v>4</v>
      </c>
      <c r="E83" s="56">
        <v>0</v>
      </c>
      <c r="F83" s="56">
        <v>6</v>
      </c>
      <c r="G83" s="56">
        <v>4</v>
      </c>
      <c r="H83" s="94">
        <v>5</v>
      </c>
      <c r="I83" s="94">
        <v>5</v>
      </c>
      <c r="J83" s="94">
        <v>5</v>
      </c>
      <c r="K83" s="94">
        <v>5</v>
      </c>
      <c r="L83" s="94">
        <v>5</v>
      </c>
      <c r="M83" s="105">
        <v>4</v>
      </c>
      <c r="N83" s="57">
        <v>28</v>
      </c>
      <c r="O83" s="56">
        <v>15</v>
      </c>
    </row>
    <row r="84" spans="1:15" x14ac:dyDescent="0.25">
      <c r="A84" s="56">
        <v>72</v>
      </c>
      <c r="B84" s="56">
        <v>0</v>
      </c>
      <c r="C84" s="56">
        <v>0</v>
      </c>
      <c r="D84" s="56"/>
      <c r="E84" s="56">
        <v>2</v>
      </c>
      <c r="F84" s="56">
        <v>6</v>
      </c>
      <c r="G84" s="56">
        <v>4</v>
      </c>
      <c r="H84" s="94"/>
      <c r="I84" s="94"/>
      <c r="J84" s="94"/>
      <c r="K84" s="94"/>
      <c r="L84" s="94"/>
      <c r="M84" s="105"/>
      <c r="N84" s="57">
        <v>28</v>
      </c>
      <c r="O84" s="56">
        <v>21</v>
      </c>
    </row>
    <row r="85" spans="1:15" x14ac:dyDescent="0.25">
      <c r="A85" s="56">
        <v>73</v>
      </c>
      <c r="B85" s="56">
        <v>0</v>
      </c>
      <c r="C85" s="56">
        <v>6</v>
      </c>
      <c r="D85" s="56">
        <v>4</v>
      </c>
      <c r="E85" s="56">
        <v>2</v>
      </c>
      <c r="F85" s="56">
        <v>4</v>
      </c>
      <c r="G85" s="56"/>
      <c r="H85" s="94">
        <v>5</v>
      </c>
      <c r="I85" s="94">
        <v>5</v>
      </c>
      <c r="J85" s="94">
        <v>5</v>
      </c>
      <c r="K85" s="94">
        <v>5</v>
      </c>
      <c r="L85" s="94">
        <v>5</v>
      </c>
      <c r="M85" s="105">
        <v>5</v>
      </c>
      <c r="N85" s="57">
        <v>28</v>
      </c>
      <c r="O85" s="56">
        <v>22</v>
      </c>
    </row>
    <row r="86" spans="1:15" x14ac:dyDescent="0.25">
      <c r="A86" s="56">
        <v>74</v>
      </c>
      <c r="B86" s="56">
        <v>0</v>
      </c>
      <c r="C86" s="56">
        <v>0</v>
      </c>
      <c r="D86" s="56"/>
      <c r="E86" s="56">
        <v>8</v>
      </c>
      <c r="F86" s="56">
        <v>4</v>
      </c>
      <c r="G86" s="56"/>
      <c r="H86" s="94"/>
      <c r="I86" s="94"/>
      <c r="J86" s="94"/>
      <c r="K86" s="94"/>
      <c r="L86" s="94"/>
      <c r="M86" s="105"/>
      <c r="N86" s="57">
        <v>29</v>
      </c>
      <c r="O86" s="56">
        <v>20</v>
      </c>
    </row>
    <row r="87" spans="1:15" x14ac:dyDescent="0.25">
      <c r="A87" s="56">
        <v>75</v>
      </c>
      <c r="B87" s="56">
        <v>0</v>
      </c>
      <c r="C87" s="56">
        <v>0</v>
      </c>
      <c r="D87" s="56"/>
      <c r="E87" s="56">
        <v>8</v>
      </c>
      <c r="F87" s="56">
        <v>4</v>
      </c>
      <c r="G87" s="56"/>
      <c r="H87" s="94"/>
      <c r="I87" s="94"/>
      <c r="J87" s="94"/>
      <c r="K87" s="94"/>
      <c r="L87" s="94"/>
      <c r="M87" s="105"/>
      <c r="N87" s="57">
        <v>19</v>
      </c>
      <c r="O87" s="56">
        <v>18</v>
      </c>
    </row>
  </sheetData>
  <mergeCells count="6">
    <mergeCell ref="P8:R8"/>
    <mergeCell ref="H1:O1"/>
    <mergeCell ref="H3:M3"/>
    <mergeCell ref="B2:O2"/>
    <mergeCell ref="B3:D3"/>
    <mergeCell ref="E3:G3"/>
  </mergeCells>
  <pageMargins left="0.39" right="0.35" top="0.75" bottom="0.75" header="0.3" footer="0.3"/>
  <pageSetup paperSize="9" scale="65" fitToHeight="0" orientation="portrait" r:id="rId1"/>
  <rowBreaks count="2" manualBreakCount="2">
    <brk id="38" max="9" man="1"/>
    <brk id="65" max="9"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F255"/>
  <sheetViews>
    <sheetView topLeftCell="V1" zoomScale="80" zoomScaleNormal="80" workbookViewId="0">
      <selection activeCell="H7" sqref="H7"/>
    </sheetView>
  </sheetViews>
  <sheetFormatPr defaultColWidth="14.44140625" defaultRowHeight="15.6" x14ac:dyDescent="0.3"/>
  <cols>
    <col min="1" max="1" width="4.5546875" style="79" customWidth="1"/>
    <col min="2" max="2" width="9" style="79" customWidth="1"/>
    <col min="3" max="3" width="16" style="79" bestFit="1" customWidth="1"/>
    <col min="4" max="4" width="26.33203125" style="79" customWidth="1"/>
    <col min="5" max="5" width="8.88671875" style="79" customWidth="1"/>
    <col min="6" max="6" width="8.33203125" style="79" customWidth="1"/>
    <col min="7" max="7" width="8.6640625" style="79" customWidth="1"/>
    <col min="8" max="9" width="8.33203125" style="79" customWidth="1"/>
    <col min="10" max="10" width="9.109375" style="79" customWidth="1"/>
    <col min="11" max="11" width="9.33203125" style="79" customWidth="1"/>
    <col min="12" max="12" width="8.33203125" style="79" customWidth="1"/>
    <col min="13" max="13" width="7.6640625" style="79" customWidth="1"/>
    <col min="14" max="14" width="9" style="79" customWidth="1"/>
    <col min="15" max="15" width="9.44140625" style="79" customWidth="1"/>
    <col min="16" max="16" width="8.33203125" style="79" customWidth="1"/>
    <col min="17" max="17" width="8.44140625" style="79" bestFit="1" customWidth="1"/>
    <col min="18" max="18" width="9.44140625" style="79" customWidth="1"/>
    <col min="19" max="19" width="9.109375" style="79" customWidth="1"/>
    <col min="20" max="20" width="8.33203125" style="79" customWidth="1"/>
    <col min="21" max="21" width="8.44140625" style="79" customWidth="1"/>
    <col min="22" max="22" width="9" style="79" customWidth="1"/>
    <col min="23" max="23" width="7.6640625" style="79" customWidth="1"/>
    <col min="24" max="24" width="7.5546875" style="79" customWidth="1"/>
    <col min="25" max="25" width="9.44140625" style="79" customWidth="1"/>
    <col min="26" max="26" width="7.33203125" style="79" customWidth="1"/>
    <col min="27" max="27" width="9.6640625" style="79" customWidth="1"/>
    <col min="28" max="28" width="6" style="79" customWidth="1"/>
    <col min="29" max="34" width="5.6640625" style="79" customWidth="1"/>
    <col min="35" max="35" width="8.88671875" style="79" customWidth="1"/>
    <col min="36" max="36" width="4.6640625" style="79" customWidth="1"/>
    <col min="37" max="41" width="8.6640625" style="79" customWidth="1"/>
    <col min="42" max="42" width="12.6640625" style="79" customWidth="1"/>
    <col min="43" max="43" width="8.6640625" style="79" customWidth="1"/>
    <col min="44" max="56" width="14.44140625" style="79"/>
    <col min="57" max="57" width="6.33203125" style="79" customWidth="1"/>
    <col min="58" max="58" width="22.33203125" style="79" customWidth="1"/>
    <col min="59" max="16384" width="14.44140625" style="79"/>
  </cols>
  <sheetData>
    <row r="1" spans="1:58" ht="24.75" customHeight="1" x14ac:dyDescent="0.3">
      <c r="A1" s="758"/>
      <c r="B1" s="759"/>
      <c r="C1" s="759"/>
      <c r="D1" s="759"/>
      <c r="E1" s="759"/>
      <c r="F1" s="759"/>
      <c r="G1" s="759"/>
      <c r="H1" s="759"/>
      <c r="I1" s="759"/>
      <c r="J1" s="759"/>
      <c r="K1" s="759"/>
      <c r="L1" s="759"/>
      <c r="M1" s="759"/>
      <c r="N1" s="759"/>
      <c r="O1" s="759"/>
      <c r="P1" s="759"/>
      <c r="Q1" s="759"/>
      <c r="R1" s="759"/>
      <c r="S1" s="759"/>
      <c r="T1" s="759"/>
      <c r="U1" s="759"/>
      <c r="V1" s="759"/>
      <c r="W1" s="759"/>
      <c r="X1" s="759"/>
      <c r="Y1" s="759"/>
      <c r="Z1" s="759"/>
      <c r="AA1" s="759"/>
      <c r="AB1" s="759"/>
      <c r="AC1" s="759"/>
      <c r="AD1" s="759"/>
      <c r="AE1" s="759"/>
      <c r="AF1" s="759"/>
      <c r="AG1" s="759"/>
      <c r="AH1" s="759"/>
      <c r="AI1" s="759"/>
      <c r="AJ1" s="743"/>
      <c r="AM1" s="755" t="s">
        <v>238</v>
      </c>
      <c r="AN1" s="756"/>
      <c r="AO1" s="756"/>
      <c r="AP1" s="756"/>
      <c r="AQ1" s="756"/>
      <c r="AR1" s="756"/>
      <c r="AS1" s="760"/>
      <c r="AT1" s="167"/>
      <c r="AU1" s="167"/>
      <c r="AV1" s="167"/>
      <c r="AW1" s="264"/>
      <c r="AX1" s="264"/>
      <c r="AY1" s="199"/>
      <c r="AZ1" s="199"/>
      <c r="BA1" s="761"/>
      <c r="BB1" s="729"/>
      <c r="BC1" s="729"/>
      <c r="BD1" s="729"/>
      <c r="BE1" s="729"/>
      <c r="BF1" s="266"/>
    </row>
    <row r="2" spans="1:58" ht="18.75" customHeight="1" x14ac:dyDescent="0.3">
      <c r="A2" s="762"/>
      <c r="B2" s="756"/>
      <c r="C2" s="756"/>
      <c r="D2" s="756"/>
      <c r="E2" s="756"/>
      <c r="F2" s="756"/>
      <c r="G2" s="756"/>
      <c r="H2" s="756"/>
      <c r="I2" s="756"/>
      <c r="J2" s="756"/>
      <c r="K2" s="756"/>
      <c r="L2" s="756"/>
      <c r="M2" s="756"/>
      <c r="N2" s="756"/>
      <c r="O2" s="756"/>
      <c r="P2" s="756"/>
      <c r="Q2" s="756"/>
      <c r="R2" s="756"/>
      <c r="S2" s="756"/>
      <c r="T2" s="756"/>
      <c r="U2" s="756"/>
      <c r="V2" s="756"/>
      <c r="W2" s="756"/>
      <c r="X2" s="756"/>
      <c r="Y2" s="756"/>
      <c r="Z2" s="756"/>
      <c r="AA2" s="756"/>
      <c r="AB2" s="756"/>
      <c r="AC2" s="756"/>
      <c r="AD2" s="756"/>
      <c r="AE2" s="756"/>
      <c r="AF2" s="756"/>
      <c r="AG2" s="756"/>
      <c r="AH2" s="756"/>
      <c r="AI2" s="756"/>
      <c r="AJ2" s="763"/>
      <c r="AM2" s="764" t="s">
        <v>358</v>
      </c>
      <c r="AN2" s="756"/>
      <c r="AO2" s="756"/>
      <c r="AP2" s="756"/>
      <c r="AQ2" s="756"/>
      <c r="AR2" s="756"/>
      <c r="AS2" s="760"/>
      <c r="AT2" s="167"/>
      <c r="AU2" s="167"/>
      <c r="AV2" s="167"/>
      <c r="AW2" s="268"/>
      <c r="AX2" s="269" t="s">
        <v>291</v>
      </c>
      <c r="AY2" s="269">
        <f>(1*AI19)</f>
        <v>2</v>
      </c>
      <c r="AZ2" s="199"/>
      <c r="BA2" s="270"/>
      <c r="BB2" s="271"/>
      <c r="BC2" s="271"/>
      <c r="BD2" s="271"/>
      <c r="BE2" s="271"/>
      <c r="BF2" s="266"/>
    </row>
    <row r="3" spans="1:58" ht="27" customHeight="1" x14ac:dyDescent="0.3">
      <c r="A3" s="762" t="s">
        <v>240</v>
      </c>
      <c r="B3" s="756"/>
      <c r="C3" s="756"/>
      <c r="D3" s="756"/>
      <c r="E3" s="756"/>
      <c r="F3" s="756"/>
      <c r="G3" s="756"/>
      <c r="H3" s="756"/>
      <c r="I3" s="756"/>
      <c r="J3" s="756"/>
      <c r="K3" s="756"/>
      <c r="L3" s="756"/>
      <c r="M3" s="756"/>
      <c r="N3" s="756"/>
      <c r="O3" s="756"/>
      <c r="P3" s="756"/>
      <c r="Q3" s="756"/>
      <c r="R3" s="756"/>
      <c r="S3" s="756"/>
      <c r="T3" s="756"/>
      <c r="U3" s="756"/>
      <c r="V3" s="756"/>
      <c r="W3" s="756"/>
      <c r="X3" s="756"/>
      <c r="Y3" s="756"/>
      <c r="Z3" s="756"/>
      <c r="AA3" s="756"/>
      <c r="AB3" s="756"/>
      <c r="AC3" s="756"/>
      <c r="AD3" s="756"/>
      <c r="AE3" s="756"/>
      <c r="AF3" s="756"/>
      <c r="AG3" s="756"/>
      <c r="AH3" s="756"/>
      <c r="AI3" s="756"/>
      <c r="AJ3" s="763"/>
      <c r="AM3" s="755" t="s">
        <v>241</v>
      </c>
      <c r="AN3" s="756"/>
      <c r="AO3" s="756"/>
      <c r="AP3" s="756"/>
      <c r="AQ3" s="756"/>
      <c r="AR3" s="756"/>
      <c r="AS3" s="757"/>
      <c r="AT3" s="167"/>
      <c r="AU3" s="167"/>
      <c r="AV3" s="167"/>
      <c r="AW3" s="264"/>
      <c r="AX3" s="269" t="s">
        <v>246</v>
      </c>
      <c r="AY3" s="338">
        <f>AS10</f>
        <v>2.6666666666666665</v>
      </c>
      <c r="AZ3" s="199"/>
      <c r="BA3" s="272"/>
      <c r="BB3" s="273"/>
      <c r="BC3" s="273"/>
      <c r="BD3" s="274"/>
      <c r="BE3" s="266"/>
      <c r="BF3" s="266"/>
    </row>
    <row r="4" spans="1:58" ht="29.25" customHeight="1" x14ac:dyDescent="0.3">
      <c r="A4" s="762" t="s">
        <v>242</v>
      </c>
      <c r="B4" s="765"/>
      <c r="C4" s="765"/>
      <c r="D4" s="765"/>
      <c r="E4" s="765"/>
      <c r="F4" s="765"/>
      <c r="G4" s="765"/>
      <c r="H4" s="765"/>
      <c r="I4" s="765"/>
      <c r="J4" s="765"/>
      <c r="K4" s="765"/>
      <c r="L4" s="765"/>
      <c r="M4" s="765"/>
      <c r="N4" s="765"/>
      <c r="O4" s="765"/>
      <c r="P4" s="765"/>
      <c r="Q4" s="765"/>
      <c r="R4" s="765"/>
      <c r="S4" s="765"/>
      <c r="T4" s="765"/>
      <c r="U4" s="765"/>
      <c r="V4" s="765"/>
      <c r="W4" s="765"/>
      <c r="X4" s="765"/>
      <c r="Y4" s="765"/>
      <c r="Z4" s="765"/>
      <c r="AA4" s="765"/>
      <c r="AB4" s="765"/>
      <c r="AC4" s="765"/>
      <c r="AD4" s="765"/>
      <c r="AE4" s="765"/>
      <c r="AF4" s="765"/>
      <c r="AG4" s="765"/>
      <c r="AH4" s="765"/>
      <c r="AI4" s="765"/>
      <c r="AJ4" s="766"/>
      <c r="AM4" s="275" t="s">
        <v>243</v>
      </c>
      <c r="AN4" s="263" t="s">
        <v>226</v>
      </c>
      <c r="AO4" s="275" t="s">
        <v>227</v>
      </c>
      <c r="AP4" s="275" t="s">
        <v>244</v>
      </c>
      <c r="AQ4" s="275"/>
      <c r="AR4" s="263" t="s">
        <v>230</v>
      </c>
      <c r="AS4" s="249" t="s">
        <v>246</v>
      </c>
      <c r="AT4" s="276" t="s">
        <v>311</v>
      </c>
      <c r="AU4" s="248" t="s">
        <v>291</v>
      </c>
      <c r="AV4" s="276" t="s">
        <v>312</v>
      </c>
      <c r="AW4" s="277" t="s">
        <v>313</v>
      </c>
      <c r="AX4" s="199"/>
      <c r="AY4" s="199"/>
      <c r="AZ4" s="199"/>
      <c r="BA4" s="272"/>
      <c r="BB4" s="273"/>
      <c r="BC4" s="273"/>
      <c r="BD4" s="273"/>
      <c r="BE4" s="266"/>
      <c r="BF4" s="266"/>
    </row>
    <row r="5" spans="1:58" ht="22.5" customHeight="1" thickBot="1" x14ac:dyDescent="0.35">
      <c r="A5" s="788" t="s">
        <v>378</v>
      </c>
      <c r="B5" s="789"/>
      <c r="C5" s="789"/>
      <c r="D5" s="789"/>
      <c r="E5" s="789"/>
      <c r="F5" s="789"/>
      <c r="G5" s="789"/>
      <c r="H5" s="789"/>
      <c r="I5" s="789"/>
      <c r="J5" s="789"/>
      <c r="K5" s="789"/>
      <c r="L5" s="789"/>
      <c r="M5" s="789"/>
      <c r="N5" s="789"/>
      <c r="O5" s="789"/>
      <c r="P5" s="789"/>
      <c r="Q5" s="789"/>
      <c r="R5" s="789"/>
      <c r="S5" s="789"/>
      <c r="T5" s="789"/>
      <c r="U5" s="789"/>
      <c r="V5" s="789"/>
      <c r="W5" s="789"/>
      <c r="X5" s="789"/>
      <c r="Y5" s="789"/>
      <c r="Z5" s="789"/>
      <c r="AA5" s="789"/>
      <c r="AB5" s="789"/>
      <c r="AC5" s="789"/>
      <c r="AD5" s="789"/>
      <c r="AE5" s="789"/>
      <c r="AF5" s="789"/>
      <c r="AG5" s="789"/>
      <c r="AH5" s="789"/>
      <c r="AI5" s="789"/>
      <c r="AJ5" s="790"/>
      <c r="AM5" s="183">
        <v>22224.1</v>
      </c>
      <c r="AN5" s="278">
        <f>AVERAGE(F19,G19,H19,I19,J19,O19)</f>
        <v>3</v>
      </c>
      <c r="AO5" s="279"/>
      <c r="AP5" s="278">
        <v>3</v>
      </c>
      <c r="AQ5" s="278"/>
      <c r="AR5" s="278">
        <v>3</v>
      </c>
      <c r="AS5" s="280">
        <f>(0.8*AN5+0.8*AO5+0.1*AP5+0.1*AR5)</f>
        <v>3</v>
      </c>
      <c r="AT5" s="281">
        <f>0.6*AS5</f>
        <v>1.7999999999999998</v>
      </c>
      <c r="AU5" s="280">
        <v>2</v>
      </c>
      <c r="AV5" s="281">
        <f>0.4*AU5</f>
        <v>0.8</v>
      </c>
      <c r="AW5" s="244">
        <f>AT5+AV5</f>
        <v>2.5999999999999996</v>
      </c>
      <c r="AX5" s="199"/>
      <c r="AY5" s="199"/>
      <c r="AZ5" s="199"/>
      <c r="BA5" s="272"/>
      <c r="BB5" s="273"/>
      <c r="BC5" s="273"/>
      <c r="BD5" s="273"/>
      <c r="BE5" s="266"/>
      <c r="BF5" s="266"/>
    </row>
    <row r="6" spans="1:58" ht="22.5" customHeight="1" x14ac:dyDescent="0.3">
      <c r="A6" s="282"/>
      <c r="B6" s="283"/>
      <c r="C6" s="283"/>
      <c r="D6" s="283"/>
      <c r="E6" s="283"/>
      <c r="F6" s="283"/>
      <c r="G6" s="283"/>
      <c r="H6" s="283"/>
      <c r="I6" s="283"/>
      <c r="J6" s="283"/>
      <c r="K6" s="283"/>
      <c r="L6" s="283"/>
      <c r="M6" s="283"/>
      <c r="N6" s="283"/>
      <c r="O6" s="283"/>
      <c r="P6" s="283"/>
      <c r="Q6" s="283"/>
      <c r="R6" s="283"/>
      <c r="S6" s="283"/>
      <c r="T6" s="283"/>
      <c r="U6" s="283"/>
      <c r="V6" s="283"/>
      <c r="W6" s="283"/>
      <c r="X6" s="283"/>
      <c r="Y6" s="283"/>
      <c r="Z6" s="283"/>
      <c r="AA6" s="283"/>
      <c r="AB6" s="283"/>
      <c r="AC6" s="283"/>
      <c r="AD6" s="283"/>
      <c r="AE6" s="283"/>
      <c r="AF6" s="283"/>
      <c r="AG6" s="283"/>
      <c r="AH6" s="283"/>
      <c r="AI6" s="283"/>
      <c r="AJ6" s="284"/>
      <c r="AM6" s="183">
        <v>22224.2</v>
      </c>
      <c r="AN6" s="278"/>
      <c r="AO6" s="506">
        <f>AVERAGE(T19,U19,Y19)</f>
        <v>2.3333333333333335</v>
      </c>
      <c r="AP6" s="278">
        <v>3</v>
      </c>
      <c r="AQ6" s="278"/>
      <c r="AR6" s="278">
        <v>3</v>
      </c>
      <c r="AS6" s="280">
        <f t="shared" ref="AS6:AS9" si="0">(0.8*AN6+0.8*AO6+0.1*AP6+0.1*AR6)</f>
        <v>2.4666666666666668</v>
      </c>
      <c r="AT6" s="281">
        <f t="shared" ref="AT6:AT9" si="1">0.6*AS6</f>
        <v>1.48</v>
      </c>
      <c r="AU6" s="280">
        <v>2</v>
      </c>
      <c r="AV6" s="281">
        <f t="shared" ref="AV6:AV9" si="2">0.4*AU6</f>
        <v>0.8</v>
      </c>
      <c r="AW6" s="244">
        <f t="shared" ref="AW6:AW9" si="3">AT6+AV6</f>
        <v>2.2800000000000002</v>
      </c>
      <c r="AX6" s="199"/>
      <c r="AY6" s="199"/>
      <c r="AZ6" s="199"/>
      <c r="BA6" s="272"/>
      <c r="BB6" s="273"/>
      <c r="BC6" s="273"/>
      <c r="BD6" s="274"/>
      <c r="BE6" s="266"/>
      <c r="BF6" s="266"/>
    </row>
    <row r="7" spans="1:58" ht="22.5" customHeight="1" x14ac:dyDescent="0.3">
      <c r="A7" s="282"/>
      <c r="B7" s="283"/>
      <c r="C7" s="283"/>
      <c r="D7" s="283"/>
      <c r="E7" s="283"/>
      <c r="F7" s="283"/>
      <c r="G7" s="283"/>
      <c r="H7" s="283"/>
      <c r="I7" s="283"/>
      <c r="J7" s="283"/>
      <c r="K7" s="283"/>
      <c r="L7" s="283"/>
      <c r="M7" s="283"/>
      <c r="N7" s="283"/>
      <c r="O7" s="283"/>
      <c r="P7" s="283"/>
      <c r="Q7" s="283"/>
      <c r="R7" s="283"/>
      <c r="S7" s="283"/>
      <c r="T7" s="283"/>
      <c r="U7" s="283"/>
      <c r="V7" s="283"/>
      <c r="W7" s="283"/>
      <c r="X7" s="283"/>
      <c r="Y7" s="283"/>
      <c r="Z7" s="283"/>
      <c r="AA7" s="283"/>
      <c r="AB7" s="283"/>
      <c r="AC7" s="283"/>
      <c r="AD7" s="283"/>
      <c r="AE7" s="283"/>
      <c r="AF7" s="283"/>
      <c r="AG7" s="283"/>
      <c r="AH7" s="283"/>
      <c r="AI7" s="283"/>
      <c r="AJ7" s="284"/>
      <c r="AM7" s="183">
        <v>22224.3</v>
      </c>
      <c r="AN7" s="278"/>
      <c r="AO7" s="278">
        <f>AVERAGE(Q19,R19,S19,W19)</f>
        <v>2.75</v>
      </c>
      <c r="AP7" s="278">
        <v>3</v>
      </c>
      <c r="AQ7" s="278"/>
      <c r="AR7" s="278">
        <v>3</v>
      </c>
      <c r="AS7" s="280">
        <f t="shared" si="0"/>
        <v>2.8</v>
      </c>
      <c r="AT7" s="281">
        <f t="shared" si="1"/>
        <v>1.68</v>
      </c>
      <c r="AU7" s="280">
        <v>2</v>
      </c>
      <c r="AV7" s="281">
        <f t="shared" si="2"/>
        <v>0.8</v>
      </c>
      <c r="AW7" s="244">
        <f t="shared" si="3"/>
        <v>2.48</v>
      </c>
      <c r="AX7" s="199"/>
      <c r="AY7" s="199"/>
      <c r="AZ7" s="199"/>
      <c r="BA7" s="272"/>
      <c r="BB7" s="273"/>
      <c r="BC7" s="273"/>
      <c r="BD7" s="273"/>
      <c r="BE7" s="266"/>
      <c r="BF7" s="266"/>
    </row>
    <row r="8" spans="1:58" ht="22.5" customHeight="1" thickBot="1" x14ac:dyDescent="0.35">
      <c r="A8" s="791" t="s">
        <v>247</v>
      </c>
      <c r="B8" s="792"/>
      <c r="C8" s="792"/>
      <c r="D8" s="792"/>
      <c r="E8" s="792"/>
      <c r="F8" s="792"/>
      <c r="G8" s="792"/>
      <c r="H8" s="792"/>
      <c r="I8" s="792"/>
      <c r="J8" s="792"/>
      <c r="K8" s="792"/>
      <c r="L8" s="792"/>
      <c r="M8" s="792"/>
      <c r="N8" s="792"/>
      <c r="O8" s="792"/>
      <c r="P8" s="792"/>
      <c r="Q8" s="792"/>
      <c r="R8" s="792"/>
      <c r="S8" s="792"/>
      <c r="T8" s="792"/>
      <c r="U8" s="792"/>
      <c r="V8" s="792"/>
      <c r="W8" s="792"/>
      <c r="X8" s="792"/>
      <c r="Y8" s="792"/>
      <c r="Z8" s="792"/>
      <c r="AA8" s="792"/>
      <c r="AB8" s="792"/>
      <c r="AC8" s="792"/>
      <c r="AD8" s="792"/>
      <c r="AE8" s="792"/>
      <c r="AF8" s="792"/>
      <c r="AG8" s="792"/>
      <c r="AH8" s="792"/>
      <c r="AI8" s="792"/>
      <c r="AJ8" s="793"/>
      <c r="AM8" s="183">
        <v>22224.400000000001</v>
      </c>
      <c r="AN8" s="278"/>
      <c r="AO8" s="278">
        <f>AVERAGE(V19,X19,Z19)</f>
        <v>2.3333333333333335</v>
      </c>
      <c r="AP8" s="278">
        <v>3</v>
      </c>
      <c r="AQ8" s="278"/>
      <c r="AR8" s="278">
        <v>3</v>
      </c>
      <c r="AS8" s="280">
        <f t="shared" si="0"/>
        <v>2.4666666666666668</v>
      </c>
      <c r="AT8" s="281">
        <f t="shared" si="1"/>
        <v>1.48</v>
      </c>
      <c r="AU8" s="280">
        <v>2</v>
      </c>
      <c r="AV8" s="281">
        <f t="shared" si="2"/>
        <v>0.8</v>
      </c>
      <c r="AW8" s="244">
        <f t="shared" si="3"/>
        <v>2.2800000000000002</v>
      </c>
      <c r="AX8" s="199"/>
      <c r="AY8" s="199"/>
      <c r="AZ8" s="199"/>
      <c r="BA8" s="285"/>
      <c r="BB8" s="286"/>
      <c r="BC8" s="286"/>
      <c r="BD8" s="286"/>
      <c r="BE8" s="286"/>
      <c r="BF8" s="266"/>
    </row>
    <row r="9" spans="1:58" ht="23.25" customHeight="1" x14ac:dyDescent="0.3">
      <c r="A9" s="794" t="s">
        <v>249</v>
      </c>
      <c r="B9" s="795"/>
      <c r="C9" s="795"/>
      <c r="D9" s="795"/>
      <c r="E9" s="795"/>
      <c r="F9" s="795"/>
      <c r="G9" s="795"/>
      <c r="H9" s="795"/>
      <c r="I9" s="795"/>
      <c r="J9" s="795"/>
      <c r="K9" s="795"/>
      <c r="L9" s="795"/>
      <c r="M9" s="795"/>
      <c r="N9" s="795"/>
      <c r="O9" s="795"/>
      <c r="P9" s="795"/>
      <c r="Q9" s="795"/>
      <c r="R9" s="795"/>
      <c r="S9" s="795"/>
      <c r="T9" s="795"/>
      <c r="U9" s="795"/>
      <c r="V9" s="795"/>
      <c r="W9" s="795"/>
      <c r="X9" s="795"/>
      <c r="Y9" s="795"/>
      <c r="Z9" s="795"/>
      <c r="AA9" s="795"/>
      <c r="AB9" s="797" t="s">
        <v>250</v>
      </c>
      <c r="AC9" s="771"/>
      <c r="AD9" s="779" t="s">
        <v>230</v>
      </c>
      <c r="AE9" s="780"/>
      <c r="AF9" s="780"/>
      <c r="AG9" s="780"/>
      <c r="AH9" s="781"/>
      <c r="AI9" s="776" t="s">
        <v>258</v>
      </c>
      <c r="AJ9" s="800"/>
      <c r="AM9" s="183">
        <v>22224.5</v>
      </c>
      <c r="AN9" s="278">
        <f>AVERAGE(K19,L19,M19,N19)</f>
        <v>2.5</v>
      </c>
      <c r="AO9" s="347"/>
      <c r="AP9" s="347">
        <v>3</v>
      </c>
      <c r="AQ9" s="347"/>
      <c r="AR9" s="347">
        <v>3</v>
      </c>
      <c r="AS9" s="280">
        <f t="shared" si="0"/>
        <v>2.5999999999999996</v>
      </c>
      <c r="AT9" s="281">
        <f t="shared" si="1"/>
        <v>1.5599999999999998</v>
      </c>
      <c r="AU9" s="280">
        <v>2</v>
      </c>
      <c r="AV9" s="281">
        <f t="shared" si="2"/>
        <v>0.8</v>
      </c>
      <c r="AW9" s="244">
        <f t="shared" si="3"/>
        <v>2.36</v>
      </c>
      <c r="AX9" s="199"/>
      <c r="AY9" s="199"/>
      <c r="AZ9" s="199"/>
      <c r="BA9" s="166"/>
      <c r="BB9" s="732"/>
      <c r="BC9" s="732"/>
      <c r="BD9" s="166"/>
      <c r="BE9" s="166"/>
      <c r="BF9" s="266"/>
    </row>
    <row r="10" spans="1:58" ht="24" customHeight="1" thickBot="1" x14ac:dyDescent="0.35">
      <c r="A10" s="796"/>
      <c r="B10" s="745"/>
      <c r="C10" s="745"/>
      <c r="D10" s="745"/>
      <c r="E10" s="795"/>
      <c r="F10" s="795"/>
      <c r="G10" s="795"/>
      <c r="H10" s="795"/>
      <c r="I10" s="795"/>
      <c r="J10" s="795"/>
      <c r="K10" s="795"/>
      <c r="L10" s="795"/>
      <c r="M10" s="795"/>
      <c r="N10" s="795"/>
      <c r="O10" s="795"/>
      <c r="P10" s="795"/>
      <c r="Q10" s="795"/>
      <c r="R10" s="795"/>
      <c r="S10" s="795"/>
      <c r="T10" s="795"/>
      <c r="U10" s="795"/>
      <c r="V10" s="795"/>
      <c r="W10" s="795"/>
      <c r="X10" s="795"/>
      <c r="Y10" s="795"/>
      <c r="Z10" s="795"/>
      <c r="AA10" s="795"/>
      <c r="AB10" s="798"/>
      <c r="AC10" s="772"/>
      <c r="AD10" s="782"/>
      <c r="AE10" s="783"/>
      <c r="AF10" s="783"/>
      <c r="AG10" s="783"/>
      <c r="AH10" s="784"/>
      <c r="AI10" s="777"/>
      <c r="AJ10" s="801"/>
      <c r="AM10" s="182"/>
      <c r="AN10" s="182"/>
      <c r="AO10" s="182"/>
      <c r="AP10" s="182"/>
      <c r="AQ10" s="182"/>
      <c r="AR10" s="182" t="s">
        <v>252</v>
      </c>
      <c r="AS10" s="280">
        <f>AVERAGE(AS5:AS9)</f>
        <v>2.6666666666666665</v>
      </c>
      <c r="AT10" s="287"/>
      <c r="AU10" s="287"/>
      <c r="AV10" s="287"/>
      <c r="AW10" s="199"/>
      <c r="AX10" s="199"/>
      <c r="AY10" s="199"/>
      <c r="AZ10" s="199"/>
      <c r="BA10" s="733"/>
      <c r="BB10" s="729"/>
      <c r="BC10" s="729"/>
      <c r="BD10" s="729"/>
      <c r="BE10" s="288"/>
      <c r="BF10" s="266"/>
    </row>
    <row r="11" spans="1:58" ht="18.75" customHeight="1" thickBot="1" x14ac:dyDescent="0.35">
      <c r="A11" s="734"/>
      <c r="B11" s="734" t="s">
        <v>253</v>
      </c>
      <c r="C11" s="734" t="s">
        <v>254</v>
      </c>
      <c r="D11" s="739" t="s">
        <v>255</v>
      </c>
      <c r="E11" s="289"/>
      <c r="F11" s="741" t="s">
        <v>256</v>
      </c>
      <c r="G11" s="742"/>
      <c r="H11" s="742"/>
      <c r="I11" s="742"/>
      <c r="J11" s="742"/>
      <c r="K11" s="742"/>
      <c r="L11" s="742"/>
      <c r="M11" s="742"/>
      <c r="N11" s="742"/>
      <c r="O11" s="742"/>
      <c r="P11" s="743"/>
      <c r="Q11" s="741" t="s">
        <v>257</v>
      </c>
      <c r="R11" s="742"/>
      <c r="S11" s="742"/>
      <c r="T11" s="742"/>
      <c r="U11" s="742"/>
      <c r="V11" s="742"/>
      <c r="W11" s="742"/>
      <c r="X11" s="742"/>
      <c r="Y11" s="742"/>
      <c r="Z11" s="742"/>
      <c r="AA11" s="803"/>
      <c r="AB11" s="799"/>
      <c r="AC11" s="773"/>
      <c r="AD11" s="785"/>
      <c r="AE11" s="786"/>
      <c r="AF11" s="786"/>
      <c r="AG11" s="786"/>
      <c r="AH11" s="787"/>
      <c r="AI11" s="778"/>
      <c r="AJ11" s="802"/>
      <c r="AM11" s="206"/>
      <c r="AN11" s="206"/>
      <c r="AO11" s="346"/>
      <c r="AP11" s="264"/>
      <c r="AQ11" s="264"/>
      <c r="AR11" s="264"/>
      <c r="AS11" s="290"/>
      <c r="AT11" s="290"/>
      <c r="AU11" s="290"/>
      <c r="AV11" s="290"/>
      <c r="AW11" s="199"/>
      <c r="AX11" s="199"/>
      <c r="AY11" s="199"/>
      <c r="AZ11" s="199"/>
      <c r="BF11" s="199"/>
    </row>
    <row r="12" spans="1:58" ht="30" customHeight="1" x14ac:dyDescent="0.35">
      <c r="A12" s="735"/>
      <c r="B12" s="737"/>
      <c r="C12" s="737"/>
      <c r="D12" s="740"/>
      <c r="E12" s="291" t="s">
        <v>259</v>
      </c>
      <c r="F12" s="292" t="s">
        <v>260</v>
      </c>
      <c r="G12" s="293" t="s">
        <v>261</v>
      </c>
      <c r="H12" s="387" t="s">
        <v>262</v>
      </c>
      <c r="I12" s="387" t="s">
        <v>263</v>
      </c>
      <c r="J12" s="387" t="s">
        <v>264</v>
      </c>
      <c r="K12" s="387" t="s">
        <v>265</v>
      </c>
      <c r="L12" s="295" t="s">
        <v>266</v>
      </c>
      <c r="M12" s="296" t="s">
        <v>267</v>
      </c>
      <c r="N12" s="295" t="s">
        <v>268</v>
      </c>
      <c r="O12" s="296" t="s">
        <v>269</v>
      </c>
      <c r="P12" s="296"/>
      <c r="Q12" s="292" t="s">
        <v>260</v>
      </c>
      <c r="R12" s="292" t="s">
        <v>261</v>
      </c>
      <c r="S12" s="293" t="s">
        <v>270</v>
      </c>
      <c r="T12" s="294" t="s">
        <v>271</v>
      </c>
      <c r="U12" s="293" t="s">
        <v>272</v>
      </c>
      <c r="V12" s="295" t="s">
        <v>273</v>
      </c>
      <c r="W12" s="295" t="s">
        <v>266</v>
      </c>
      <c r="X12" s="295" t="s">
        <v>267</v>
      </c>
      <c r="Y12" s="295" t="s">
        <v>268</v>
      </c>
      <c r="Z12" s="295" t="s">
        <v>269</v>
      </c>
      <c r="AA12" s="296"/>
      <c r="AB12" s="774" t="s">
        <v>274</v>
      </c>
      <c r="AC12" s="744"/>
      <c r="AD12" s="297" t="s">
        <v>281</v>
      </c>
      <c r="AE12" s="297" t="s">
        <v>282</v>
      </c>
      <c r="AF12" s="297" t="s">
        <v>283</v>
      </c>
      <c r="AG12" s="297" t="s">
        <v>284</v>
      </c>
      <c r="AH12" s="297" t="s">
        <v>285</v>
      </c>
      <c r="AI12" s="746" t="s">
        <v>251</v>
      </c>
      <c r="AJ12" s="748"/>
      <c r="AL12" s="348">
        <v>3</v>
      </c>
      <c r="AM12" s="483" t="s">
        <v>364</v>
      </c>
      <c r="AN12" s="769" t="s">
        <v>279</v>
      </c>
      <c r="AO12" s="769"/>
      <c r="AP12" s="769"/>
      <c r="AQ12" s="769"/>
      <c r="AR12" s="770"/>
      <c r="AS12" s="345"/>
      <c r="AT12" s="345"/>
      <c r="AU12" s="345"/>
      <c r="AV12" s="345"/>
      <c r="AW12" s="345"/>
      <c r="AX12" s="345"/>
      <c r="AY12" s="345"/>
      <c r="AZ12" s="345"/>
      <c r="BA12" s="265"/>
      <c r="BB12" s="265"/>
      <c r="BC12" s="265"/>
      <c r="BD12" s="265"/>
      <c r="BE12" s="166"/>
    </row>
    <row r="13" spans="1:58" ht="24" customHeight="1" x14ac:dyDescent="0.35">
      <c r="A13" s="735"/>
      <c r="B13" s="737"/>
      <c r="C13" s="737"/>
      <c r="D13" s="740"/>
      <c r="E13" s="386" t="s">
        <v>0</v>
      </c>
      <c r="F13" s="504">
        <v>22224.1</v>
      </c>
      <c r="G13" s="504">
        <v>22224.1</v>
      </c>
      <c r="H13" s="504">
        <v>22224.1</v>
      </c>
      <c r="I13" s="504">
        <v>22224.1</v>
      </c>
      <c r="J13" s="504">
        <v>22224.1</v>
      </c>
      <c r="K13" s="504">
        <v>22224.5</v>
      </c>
      <c r="L13" s="504">
        <v>22224.5</v>
      </c>
      <c r="M13" s="504">
        <v>22224.5</v>
      </c>
      <c r="N13" s="504">
        <v>22224.5</v>
      </c>
      <c r="O13" s="504">
        <v>22224.1</v>
      </c>
      <c r="P13" s="298"/>
      <c r="Q13" s="504">
        <v>22224.3</v>
      </c>
      <c r="R13" s="504">
        <v>22224.3</v>
      </c>
      <c r="S13" s="504">
        <v>22224.3</v>
      </c>
      <c r="T13" s="504">
        <v>22224.2</v>
      </c>
      <c r="U13" s="504">
        <v>22224.2</v>
      </c>
      <c r="V13" s="504">
        <v>22224.400000000001</v>
      </c>
      <c r="W13" s="504">
        <v>22224.3</v>
      </c>
      <c r="X13" s="504">
        <v>22224.400000000001</v>
      </c>
      <c r="Y13" s="504">
        <v>22224.2</v>
      </c>
      <c r="Z13" s="504">
        <v>22224.400000000001</v>
      </c>
      <c r="AA13" s="298"/>
      <c r="AB13" s="775"/>
      <c r="AC13" s="745"/>
      <c r="AD13" s="297" t="s">
        <v>286</v>
      </c>
      <c r="AE13" s="297" t="s">
        <v>287</v>
      </c>
      <c r="AF13" s="297" t="s">
        <v>288</v>
      </c>
      <c r="AG13" s="297" t="s">
        <v>289</v>
      </c>
      <c r="AH13" s="297" t="s">
        <v>290</v>
      </c>
      <c r="AI13" s="747"/>
      <c r="AJ13" s="749"/>
      <c r="AL13" s="349">
        <v>2</v>
      </c>
      <c r="AM13" s="350" t="s">
        <v>365</v>
      </c>
      <c r="AN13" s="767" t="s">
        <v>331</v>
      </c>
      <c r="AO13" s="767"/>
      <c r="AP13" s="767"/>
      <c r="AQ13" s="767"/>
      <c r="AR13" s="768"/>
      <c r="AS13" s="265"/>
      <c r="AT13" s="265"/>
      <c r="AU13" s="265"/>
      <c r="AV13" s="265"/>
      <c r="AW13" s="265"/>
      <c r="AX13" s="265"/>
      <c r="AY13" s="265"/>
      <c r="AZ13" s="265"/>
      <c r="BA13" s="265"/>
      <c r="BB13" s="265"/>
      <c r="BC13" s="265"/>
      <c r="BD13" s="265"/>
      <c r="BE13" s="166"/>
    </row>
    <row r="14" spans="1:58" ht="27.75" customHeight="1" thickBot="1" x14ac:dyDescent="0.4">
      <c r="A14" s="735"/>
      <c r="B14" s="737"/>
      <c r="C14" s="737"/>
      <c r="D14" s="740"/>
      <c r="E14" s="299" t="s">
        <v>98</v>
      </c>
      <c r="F14" s="388">
        <v>2</v>
      </c>
      <c r="G14" s="389">
        <v>2</v>
      </c>
      <c r="H14" s="390">
        <v>2</v>
      </c>
      <c r="I14" s="390">
        <v>2</v>
      </c>
      <c r="J14" s="390">
        <v>2</v>
      </c>
      <c r="K14" s="390">
        <v>2</v>
      </c>
      <c r="L14" s="390">
        <v>4</v>
      </c>
      <c r="M14" s="390">
        <v>4</v>
      </c>
      <c r="N14" s="390">
        <v>4</v>
      </c>
      <c r="O14" s="390">
        <v>4</v>
      </c>
      <c r="P14" s="391"/>
      <c r="Q14" s="388">
        <v>2</v>
      </c>
      <c r="R14" s="389">
        <v>2</v>
      </c>
      <c r="S14" s="390">
        <v>2</v>
      </c>
      <c r="T14" s="390">
        <v>2</v>
      </c>
      <c r="U14" s="390">
        <v>2</v>
      </c>
      <c r="V14" s="390">
        <v>2</v>
      </c>
      <c r="W14" s="390">
        <v>4</v>
      </c>
      <c r="X14" s="390">
        <v>4</v>
      </c>
      <c r="Y14" s="390">
        <v>4</v>
      </c>
      <c r="Z14" s="267">
        <v>4</v>
      </c>
      <c r="AA14" s="300"/>
      <c r="AB14" s="301">
        <v>10</v>
      </c>
      <c r="AC14" s="302"/>
      <c r="AD14" s="303">
        <v>5</v>
      </c>
      <c r="AE14" s="303">
        <v>5</v>
      </c>
      <c r="AF14" s="303">
        <v>5</v>
      </c>
      <c r="AG14" s="303">
        <v>5</v>
      </c>
      <c r="AH14" s="303">
        <v>5</v>
      </c>
      <c r="AI14" s="304">
        <v>70</v>
      </c>
      <c r="AJ14" s="305"/>
      <c r="AL14" s="351">
        <v>1</v>
      </c>
      <c r="AM14" s="352" t="s">
        <v>366</v>
      </c>
      <c r="AN14" s="753" t="s">
        <v>280</v>
      </c>
      <c r="AO14" s="753"/>
      <c r="AP14" s="753"/>
      <c r="AQ14" s="753"/>
      <c r="AR14" s="754"/>
      <c r="AS14" s="265"/>
      <c r="AT14" s="265"/>
      <c r="AU14" s="265"/>
      <c r="AV14" s="265"/>
      <c r="AW14" s="265"/>
      <c r="AX14" s="265"/>
      <c r="AY14" s="265"/>
      <c r="AZ14" s="265"/>
      <c r="BA14" s="265"/>
      <c r="BB14" s="265"/>
      <c r="BC14" s="265"/>
      <c r="BD14" s="265"/>
      <c r="BE14" s="166"/>
    </row>
    <row r="15" spans="1:58" ht="25.5" customHeight="1" x14ac:dyDescent="0.3">
      <c r="A15" s="735"/>
      <c r="B15" s="737"/>
      <c r="C15" s="737"/>
      <c r="D15" s="740"/>
      <c r="E15" s="306" t="s">
        <v>275</v>
      </c>
      <c r="F15" s="307">
        <f>ROUND(F14*0.5,0)</f>
        <v>1</v>
      </c>
      <c r="G15" s="307">
        <f t="shared" ref="G15:AI15" si="4">ROUND(G14*0.5,0)</f>
        <v>1</v>
      </c>
      <c r="H15" s="307">
        <f t="shared" si="4"/>
        <v>1</v>
      </c>
      <c r="I15" s="307">
        <f t="shared" si="4"/>
        <v>1</v>
      </c>
      <c r="J15" s="307">
        <f t="shared" si="4"/>
        <v>1</v>
      </c>
      <c r="K15" s="307">
        <f t="shared" si="4"/>
        <v>1</v>
      </c>
      <c r="L15" s="307">
        <f t="shared" si="4"/>
        <v>2</v>
      </c>
      <c r="M15" s="307">
        <f t="shared" si="4"/>
        <v>2</v>
      </c>
      <c r="N15" s="307">
        <f t="shared" si="4"/>
        <v>2</v>
      </c>
      <c r="O15" s="307">
        <f t="shared" si="4"/>
        <v>2</v>
      </c>
      <c r="P15" s="307"/>
      <c r="Q15" s="307">
        <f t="shared" si="4"/>
        <v>1</v>
      </c>
      <c r="R15" s="307">
        <f t="shared" si="4"/>
        <v>1</v>
      </c>
      <c r="S15" s="307">
        <f t="shared" si="4"/>
        <v>1</v>
      </c>
      <c r="T15" s="307">
        <f t="shared" si="4"/>
        <v>1</v>
      </c>
      <c r="U15" s="307">
        <f t="shared" si="4"/>
        <v>1</v>
      </c>
      <c r="V15" s="307">
        <f t="shared" si="4"/>
        <v>1</v>
      </c>
      <c r="W15" s="307">
        <f t="shared" si="4"/>
        <v>2</v>
      </c>
      <c r="X15" s="307">
        <f t="shared" si="4"/>
        <v>2</v>
      </c>
      <c r="Y15" s="307">
        <f t="shared" si="4"/>
        <v>2</v>
      </c>
      <c r="Z15" s="307">
        <f t="shared" si="4"/>
        <v>2</v>
      </c>
      <c r="AA15" s="307"/>
      <c r="AB15" s="307">
        <f t="shared" si="4"/>
        <v>5</v>
      </c>
      <c r="AC15" s="307"/>
      <c r="AD15" s="307">
        <f t="shared" si="4"/>
        <v>3</v>
      </c>
      <c r="AE15" s="307">
        <f t="shared" si="4"/>
        <v>3</v>
      </c>
      <c r="AF15" s="307">
        <f t="shared" si="4"/>
        <v>3</v>
      </c>
      <c r="AG15" s="307">
        <f t="shared" si="4"/>
        <v>3</v>
      </c>
      <c r="AH15" s="307">
        <f t="shared" si="4"/>
        <v>3</v>
      </c>
      <c r="AI15" s="307">
        <f t="shared" si="4"/>
        <v>35</v>
      </c>
      <c r="AJ15" s="307"/>
      <c r="AK15" s="308"/>
      <c r="AL15" s="339"/>
      <c r="AM15" s="265"/>
      <c r="AN15" s="265"/>
      <c r="AO15" s="265"/>
      <c r="AP15" s="265"/>
      <c r="AQ15" s="265"/>
      <c r="AR15" s="265"/>
      <c r="AS15" s="265"/>
      <c r="AT15" s="265"/>
      <c r="AU15" s="265"/>
      <c r="AV15" s="265"/>
      <c r="AW15" s="265"/>
      <c r="AX15" s="265"/>
      <c r="AY15" s="265"/>
      <c r="AZ15" s="265"/>
      <c r="BA15" s="265"/>
      <c r="BB15" s="265"/>
      <c r="BC15" s="265"/>
      <c r="BD15" s="265"/>
      <c r="BE15" s="166"/>
    </row>
    <row r="16" spans="1:58" ht="39.75" customHeight="1" x14ac:dyDescent="0.3">
      <c r="A16" s="735"/>
      <c r="B16" s="737"/>
      <c r="C16" s="737"/>
      <c r="D16" s="740"/>
      <c r="E16" s="291" t="s">
        <v>315</v>
      </c>
      <c r="F16" s="309">
        <f>COUNTIF(F21:F227,"&gt;=0")</f>
        <v>201</v>
      </c>
      <c r="G16" s="309">
        <f t="shared" ref="G16:AI16" si="5">COUNTIF(G21:G227,"&gt;=0")</f>
        <v>182</v>
      </c>
      <c r="H16" s="309">
        <f t="shared" si="5"/>
        <v>134</v>
      </c>
      <c r="I16" s="309">
        <f t="shared" si="5"/>
        <v>133</v>
      </c>
      <c r="J16" s="309">
        <f t="shared" si="5"/>
        <v>115</v>
      </c>
      <c r="K16" s="309">
        <f t="shared" si="5"/>
        <v>122</v>
      </c>
      <c r="L16" s="309">
        <f t="shared" si="5"/>
        <v>144</v>
      </c>
      <c r="M16" s="309">
        <f t="shared" si="5"/>
        <v>141</v>
      </c>
      <c r="N16" s="309">
        <f t="shared" si="5"/>
        <v>131</v>
      </c>
      <c r="O16" s="309">
        <f t="shared" si="5"/>
        <v>126</v>
      </c>
      <c r="P16" s="309"/>
      <c r="Q16" s="309">
        <f t="shared" si="5"/>
        <v>163</v>
      </c>
      <c r="R16" s="309">
        <f t="shared" si="5"/>
        <v>133</v>
      </c>
      <c r="S16" s="309">
        <f t="shared" si="5"/>
        <v>143</v>
      </c>
      <c r="T16" s="309">
        <f t="shared" si="5"/>
        <v>101</v>
      </c>
      <c r="U16" s="309">
        <f t="shared" si="5"/>
        <v>123</v>
      </c>
      <c r="V16" s="309">
        <f t="shared" si="5"/>
        <v>131</v>
      </c>
      <c r="W16" s="309">
        <f t="shared" si="5"/>
        <v>121</v>
      </c>
      <c r="X16" s="309">
        <f t="shared" si="5"/>
        <v>102</v>
      </c>
      <c r="Y16" s="309">
        <f t="shared" si="5"/>
        <v>120</v>
      </c>
      <c r="Z16" s="309">
        <f t="shared" si="5"/>
        <v>74</v>
      </c>
      <c r="AA16" s="309"/>
      <c r="AB16" s="309">
        <f t="shared" si="5"/>
        <v>206</v>
      </c>
      <c r="AC16" s="309"/>
      <c r="AD16" s="309">
        <f t="shared" si="5"/>
        <v>206</v>
      </c>
      <c r="AE16" s="309">
        <f t="shared" si="5"/>
        <v>206</v>
      </c>
      <c r="AF16" s="309">
        <f t="shared" si="5"/>
        <v>206</v>
      </c>
      <c r="AG16" s="309">
        <f t="shared" si="5"/>
        <v>206</v>
      </c>
      <c r="AH16" s="309">
        <f t="shared" si="5"/>
        <v>206</v>
      </c>
      <c r="AI16" s="309">
        <f t="shared" si="5"/>
        <v>206</v>
      </c>
      <c r="AJ16" s="309"/>
      <c r="AL16" s="340"/>
      <c r="AM16" s="265"/>
      <c r="AN16" s="265"/>
      <c r="AO16" s="265"/>
      <c r="AP16" s="265"/>
      <c r="AQ16" s="265"/>
      <c r="AR16" s="265"/>
      <c r="AS16" s="265"/>
      <c r="AT16" s="265"/>
      <c r="AU16" s="265"/>
      <c r="AV16" s="265"/>
      <c r="AW16" s="265"/>
      <c r="AX16" s="265"/>
      <c r="AY16" s="265"/>
      <c r="AZ16" s="265"/>
      <c r="BA16" s="265"/>
      <c r="BB16" s="265"/>
      <c r="BC16" s="265"/>
      <c r="BD16" s="265"/>
      <c r="BE16" s="166"/>
    </row>
    <row r="17" spans="1:58" ht="60" customHeight="1" thickBot="1" x14ac:dyDescent="0.35">
      <c r="A17" s="735"/>
      <c r="B17" s="737"/>
      <c r="C17" s="737"/>
      <c r="D17" s="740"/>
      <c r="E17" s="310" t="s">
        <v>342</v>
      </c>
      <c r="F17" s="311">
        <f>COUNTIF((F21:F227),"&gt;=1")</f>
        <v>193</v>
      </c>
      <c r="G17" s="311">
        <f t="shared" ref="G17:V17" si="6">COUNTIF((G21:G227),"&gt;=1")</f>
        <v>170</v>
      </c>
      <c r="H17" s="311">
        <f t="shared" si="6"/>
        <v>111</v>
      </c>
      <c r="I17" s="311">
        <f t="shared" si="6"/>
        <v>110</v>
      </c>
      <c r="J17" s="311">
        <f t="shared" si="6"/>
        <v>95</v>
      </c>
      <c r="K17" s="311">
        <f t="shared" si="6"/>
        <v>103</v>
      </c>
      <c r="L17" s="311">
        <f>COUNTIF((L21:L227),"&gt;=2")</f>
        <v>73</v>
      </c>
      <c r="M17" s="311">
        <f t="shared" ref="M17:O17" si="7">COUNTIF((M21:M227),"&gt;=2")</f>
        <v>74</v>
      </c>
      <c r="N17" s="311">
        <f t="shared" si="7"/>
        <v>92</v>
      </c>
      <c r="O17" s="311">
        <f t="shared" si="7"/>
        <v>80</v>
      </c>
      <c r="P17" s="311"/>
      <c r="Q17" s="311">
        <f t="shared" si="6"/>
        <v>105</v>
      </c>
      <c r="R17" s="311">
        <f t="shared" si="6"/>
        <v>79</v>
      </c>
      <c r="S17" s="311">
        <f t="shared" si="6"/>
        <v>111</v>
      </c>
      <c r="T17" s="311">
        <f t="shared" si="6"/>
        <v>39</v>
      </c>
      <c r="U17" s="311">
        <f t="shared" si="6"/>
        <v>93</v>
      </c>
      <c r="V17" s="311">
        <f t="shared" si="6"/>
        <v>113</v>
      </c>
      <c r="W17" s="311">
        <f>COUNTIF((W21:W227),"&gt;=2")</f>
        <v>75</v>
      </c>
      <c r="X17" s="311">
        <f t="shared" ref="X17:Z17" si="8">COUNTIF((X21:X227),"&gt;=2")</f>
        <v>56</v>
      </c>
      <c r="Y17" s="311">
        <f t="shared" si="8"/>
        <v>77</v>
      </c>
      <c r="Z17" s="311">
        <f t="shared" si="8"/>
        <v>38</v>
      </c>
      <c r="AA17" s="311"/>
      <c r="AB17" s="311">
        <f>COUNTIF((AB21:AB227),"&gt;=5")</f>
        <v>205</v>
      </c>
      <c r="AC17" s="311"/>
      <c r="AD17" s="311">
        <f>COUNTIF((AD21:AD227),"&gt;=3")</f>
        <v>195</v>
      </c>
      <c r="AE17" s="311">
        <f t="shared" ref="AE17:AH17" si="9">COUNTIF((AE21:AE227),"&gt;=3")</f>
        <v>179</v>
      </c>
      <c r="AF17" s="311">
        <f t="shared" si="9"/>
        <v>194</v>
      </c>
      <c r="AG17" s="311">
        <f t="shared" si="9"/>
        <v>192</v>
      </c>
      <c r="AH17" s="311">
        <f t="shared" si="9"/>
        <v>196</v>
      </c>
      <c r="AI17" s="311">
        <f>COUNTIF((AI21:AI227),"&gt;=35")</f>
        <v>82</v>
      </c>
      <c r="AJ17" s="311"/>
      <c r="AM17" s="265"/>
      <c r="AN17" s="265"/>
      <c r="AO17" s="265"/>
      <c r="AP17" s="265"/>
      <c r="AQ17" s="265"/>
      <c r="AR17" s="265"/>
      <c r="AS17" s="265"/>
      <c r="AT17" s="265"/>
      <c r="AU17" s="265"/>
      <c r="AV17" s="265"/>
      <c r="AW17" s="265"/>
      <c r="AX17" s="265"/>
      <c r="AY17" s="265"/>
      <c r="AZ17" s="265"/>
      <c r="BA17" s="265"/>
      <c r="BB17" s="265"/>
      <c r="BC17" s="265"/>
      <c r="BD17" s="265"/>
      <c r="BE17" s="166"/>
    </row>
    <row r="18" spans="1:58" ht="45.75" customHeight="1" x14ac:dyDescent="0.3">
      <c r="A18" s="735"/>
      <c r="B18" s="737"/>
      <c r="C18" s="737"/>
      <c r="D18" s="737"/>
      <c r="E18" s="312" t="s">
        <v>343</v>
      </c>
      <c r="F18" s="313">
        <f>F17/F16*100</f>
        <v>96.019900497512438</v>
      </c>
      <c r="G18" s="313">
        <f t="shared" ref="G18:AH18" si="10">G17/G16*100</f>
        <v>93.406593406593402</v>
      </c>
      <c r="H18" s="313">
        <f t="shared" si="10"/>
        <v>82.835820895522389</v>
      </c>
      <c r="I18" s="313">
        <f t="shared" si="10"/>
        <v>82.706766917293223</v>
      </c>
      <c r="J18" s="313">
        <f t="shared" si="10"/>
        <v>82.608695652173907</v>
      </c>
      <c r="K18" s="313">
        <f t="shared" si="10"/>
        <v>84.426229508196727</v>
      </c>
      <c r="L18" s="313">
        <f t="shared" si="10"/>
        <v>50.694444444444443</v>
      </c>
      <c r="M18" s="313">
        <f t="shared" si="10"/>
        <v>52.4822695035461</v>
      </c>
      <c r="N18" s="313">
        <f t="shared" si="10"/>
        <v>70.229007633587784</v>
      </c>
      <c r="O18" s="313">
        <f t="shared" si="10"/>
        <v>63.492063492063487</v>
      </c>
      <c r="P18" s="313"/>
      <c r="Q18" s="313">
        <f t="shared" si="10"/>
        <v>64.417177914110425</v>
      </c>
      <c r="R18" s="313">
        <f t="shared" si="10"/>
        <v>59.398496240601503</v>
      </c>
      <c r="S18" s="313">
        <f t="shared" si="10"/>
        <v>77.622377622377627</v>
      </c>
      <c r="T18" s="313">
        <f t="shared" si="10"/>
        <v>38.613861386138616</v>
      </c>
      <c r="U18" s="313">
        <f t="shared" si="10"/>
        <v>75.609756097560975</v>
      </c>
      <c r="V18" s="313">
        <f t="shared" si="10"/>
        <v>86.25954198473282</v>
      </c>
      <c r="W18" s="313">
        <f t="shared" si="10"/>
        <v>61.983471074380169</v>
      </c>
      <c r="X18" s="313">
        <f t="shared" si="10"/>
        <v>54.901960784313729</v>
      </c>
      <c r="Y18" s="313">
        <f t="shared" si="10"/>
        <v>64.166666666666671</v>
      </c>
      <c r="Z18" s="313">
        <f t="shared" si="10"/>
        <v>51.351351351351347</v>
      </c>
      <c r="AA18" s="314"/>
      <c r="AB18" s="315">
        <f t="shared" si="10"/>
        <v>99.514563106796118</v>
      </c>
      <c r="AC18" s="316"/>
      <c r="AD18" s="316">
        <f t="shared" si="10"/>
        <v>94.660194174757279</v>
      </c>
      <c r="AE18" s="316">
        <f t="shared" si="10"/>
        <v>86.893203883495147</v>
      </c>
      <c r="AF18" s="316">
        <f t="shared" si="10"/>
        <v>94.174757281553397</v>
      </c>
      <c r="AG18" s="316">
        <f t="shared" si="10"/>
        <v>93.203883495145632</v>
      </c>
      <c r="AH18" s="316">
        <f t="shared" si="10"/>
        <v>95.145631067961162</v>
      </c>
      <c r="AI18" s="317">
        <f>AI17/AI16*100</f>
        <v>39.805825242718448</v>
      </c>
      <c r="AJ18" s="318"/>
      <c r="AM18" s="750"/>
      <c r="AN18" s="729"/>
      <c r="AO18" s="729"/>
      <c r="AP18" s="729"/>
      <c r="AQ18" s="729"/>
      <c r="AR18" s="729"/>
      <c r="AS18" s="729"/>
      <c r="AT18" s="729"/>
      <c r="AU18" s="729"/>
      <c r="AV18" s="729"/>
      <c r="AW18" s="729"/>
      <c r="AX18" s="729"/>
      <c r="AY18" s="729"/>
      <c r="AZ18" s="729"/>
      <c r="BA18" s="729"/>
      <c r="BB18" s="729"/>
      <c r="BC18" s="729"/>
      <c r="BD18" s="729"/>
      <c r="BE18" s="729"/>
      <c r="BF18" s="199"/>
    </row>
    <row r="19" spans="1:58" ht="36.75" customHeight="1" thickBot="1" x14ac:dyDescent="0.35">
      <c r="A19" s="736"/>
      <c r="B19" s="738"/>
      <c r="C19" s="738"/>
      <c r="D19" s="738"/>
      <c r="E19" s="319" t="s">
        <v>277</v>
      </c>
      <c r="F19" s="320">
        <v>3</v>
      </c>
      <c r="G19" s="321">
        <v>3</v>
      </c>
      <c r="H19" s="322">
        <v>3</v>
      </c>
      <c r="I19" s="322">
        <v>3</v>
      </c>
      <c r="J19" s="322">
        <v>3</v>
      </c>
      <c r="K19" s="322">
        <v>3</v>
      </c>
      <c r="L19" s="322">
        <v>2</v>
      </c>
      <c r="M19" s="322">
        <v>2</v>
      </c>
      <c r="N19" s="322">
        <v>3</v>
      </c>
      <c r="O19" s="322">
        <v>3</v>
      </c>
      <c r="P19" s="322"/>
      <c r="Q19" s="323">
        <v>3</v>
      </c>
      <c r="R19" s="323">
        <v>2</v>
      </c>
      <c r="S19" s="323">
        <v>3</v>
      </c>
      <c r="T19" s="323">
        <v>1</v>
      </c>
      <c r="U19" s="323">
        <v>3</v>
      </c>
      <c r="V19" s="323">
        <v>3</v>
      </c>
      <c r="W19" s="323">
        <v>3</v>
      </c>
      <c r="X19" s="323">
        <v>2</v>
      </c>
      <c r="Y19" s="323">
        <v>3</v>
      </c>
      <c r="Z19" s="323">
        <v>2</v>
      </c>
      <c r="AA19" s="323"/>
      <c r="AB19" s="324">
        <v>3</v>
      </c>
      <c r="AC19" s="325"/>
      <c r="AD19" s="325">
        <v>3</v>
      </c>
      <c r="AE19" s="325">
        <v>3</v>
      </c>
      <c r="AF19" s="325">
        <v>3</v>
      </c>
      <c r="AG19" s="325">
        <v>3</v>
      </c>
      <c r="AH19" s="325">
        <v>3</v>
      </c>
      <c r="AI19" s="326">
        <v>2</v>
      </c>
      <c r="AJ19" s="327"/>
      <c r="AM19" s="341"/>
      <c r="AN19" s="751"/>
      <c r="AO19" s="729"/>
      <c r="AP19" s="752"/>
      <c r="AQ19" s="729"/>
      <c r="AR19" s="729"/>
      <c r="AS19" s="729"/>
      <c r="AT19" s="265"/>
      <c r="AU19" s="265"/>
      <c r="AV19" s="265"/>
      <c r="AW19" s="752"/>
      <c r="AX19" s="752"/>
      <c r="AY19" s="752"/>
      <c r="AZ19" s="752"/>
      <c r="BA19" s="752"/>
      <c r="BB19" s="752"/>
      <c r="BC19" s="751"/>
      <c r="BD19" s="751"/>
      <c r="BE19" s="751"/>
    </row>
    <row r="20" spans="1:58" ht="33.75" customHeight="1" x14ac:dyDescent="0.3">
      <c r="A20" s="328"/>
      <c r="B20" s="329"/>
      <c r="C20" s="328"/>
      <c r="D20" s="330"/>
      <c r="E20" s="331"/>
      <c r="F20" s="332"/>
      <c r="G20" s="332"/>
      <c r="H20" s="332"/>
      <c r="I20" s="332"/>
      <c r="J20" s="332"/>
      <c r="K20" s="332"/>
      <c r="L20" s="332"/>
      <c r="M20" s="332"/>
      <c r="N20" s="332"/>
      <c r="O20" s="332"/>
      <c r="P20" s="332"/>
      <c r="Q20" s="332"/>
      <c r="R20" s="332"/>
      <c r="S20" s="333"/>
      <c r="T20" s="333"/>
      <c r="U20" s="333"/>
      <c r="V20" s="334"/>
      <c r="W20" s="334"/>
      <c r="X20" s="334"/>
      <c r="Y20" s="334"/>
      <c r="Z20" s="334"/>
      <c r="AA20" s="401"/>
      <c r="AB20" s="402"/>
      <c r="AC20" s="403"/>
      <c r="AD20" s="403"/>
      <c r="AE20" s="403"/>
      <c r="AF20" s="403"/>
      <c r="AG20" s="403"/>
      <c r="AH20" s="403"/>
      <c r="AI20" s="404"/>
      <c r="AJ20" s="404"/>
      <c r="AM20" s="342"/>
      <c r="AN20" s="728"/>
      <c r="AO20" s="729"/>
      <c r="AP20" s="730"/>
      <c r="AQ20" s="730"/>
      <c r="AR20" s="730"/>
      <c r="AS20" s="730"/>
      <c r="AT20" s="270"/>
      <c r="AU20" s="270"/>
      <c r="AV20" s="270"/>
      <c r="AW20" s="731"/>
      <c r="AX20" s="731"/>
      <c r="AY20" s="731"/>
      <c r="AZ20" s="731"/>
      <c r="BA20" s="731"/>
      <c r="BB20" s="731"/>
      <c r="BC20" s="731"/>
      <c r="BD20" s="731"/>
      <c r="BE20" s="731"/>
    </row>
    <row r="21" spans="1:58" ht="32.1" customHeight="1" x14ac:dyDescent="0.3">
      <c r="A21" s="335">
        <v>1</v>
      </c>
      <c r="B21" s="381">
        <v>1101</v>
      </c>
      <c r="C21" s="378" t="s">
        <v>598</v>
      </c>
      <c r="D21" s="519" t="s">
        <v>391</v>
      </c>
      <c r="E21" s="415"/>
      <c r="F21" s="513">
        <v>2</v>
      </c>
      <c r="G21" s="489">
        <v>2</v>
      </c>
      <c r="H21" s="489">
        <v>2</v>
      </c>
      <c r="I21" s="489">
        <v>2</v>
      </c>
      <c r="J21" s="489">
        <v>2</v>
      </c>
      <c r="K21" s="489">
        <v>2</v>
      </c>
      <c r="L21" s="380">
        <v>4</v>
      </c>
      <c r="M21" s="380">
        <v>4</v>
      </c>
      <c r="N21" s="380">
        <v>4</v>
      </c>
      <c r="O21" s="380">
        <v>4</v>
      </c>
      <c r="P21" s="380"/>
      <c r="Q21" s="380">
        <v>2</v>
      </c>
      <c r="R21" s="380">
        <v>2</v>
      </c>
      <c r="S21" s="496">
        <v>2</v>
      </c>
      <c r="T21" s="496">
        <v>2</v>
      </c>
      <c r="U21" s="496">
        <v>2</v>
      </c>
      <c r="V21" s="496">
        <v>2</v>
      </c>
      <c r="W21" s="496">
        <v>4</v>
      </c>
      <c r="X21" s="496">
        <v>4</v>
      </c>
      <c r="Y21" s="496">
        <v>4</v>
      </c>
      <c r="Z21" s="496">
        <v>4</v>
      </c>
      <c r="AA21" s="380"/>
      <c r="AB21" s="417">
        <v>10</v>
      </c>
      <c r="AC21" s="400"/>
      <c r="AD21" s="414">
        <v>3</v>
      </c>
      <c r="AE21" s="414">
        <v>3</v>
      </c>
      <c r="AF21" s="414">
        <v>3</v>
      </c>
      <c r="AG21" s="414">
        <v>3</v>
      </c>
      <c r="AH21" s="414">
        <v>3</v>
      </c>
      <c r="AI21" s="502">
        <v>69</v>
      </c>
      <c r="AJ21" s="400"/>
      <c r="AK21" s="195"/>
      <c r="AM21" s="343"/>
      <c r="AN21" s="728"/>
      <c r="AO21" s="729"/>
      <c r="AP21" s="730"/>
      <c r="AQ21" s="730"/>
      <c r="AR21" s="730"/>
      <c r="AS21" s="730"/>
      <c r="AT21" s="270"/>
      <c r="AU21" s="270"/>
      <c r="AV21" s="270"/>
      <c r="AW21" s="731"/>
      <c r="AX21" s="731"/>
      <c r="AY21" s="731"/>
      <c r="AZ21" s="731"/>
      <c r="BA21" s="731"/>
      <c r="BB21" s="731"/>
      <c r="BC21" s="731"/>
      <c r="BD21" s="731"/>
      <c r="BE21" s="731"/>
    </row>
    <row r="22" spans="1:58" ht="33.75" customHeight="1" x14ac:dyDescent="0.3">
      <c r="A22" s="335">
        <v>2</v>
      </c>
      <c r="B22" s="381">
        <v>1102</v>
      </c>
      <c r="C22" s="378" t="s">
        <v>599</v>
      </c>
      <c r="D22" s="519" t="s">
        <v>392</v>
      </c>
      <c r="E22" s="415"/>
      <c r="F22" s="514">
        <v>2</v>
      </c>
      <c r="G22" s="490">
        <v>2</v>
      </c>
      <c r="H22" s="490"/>
      <c r="I22" s="490">
        <v>2</v>
      </c>
      <c r="J22" s="490">
        <v>1</v>
      </c>
      <c r="K22" s="490">
        <v>2</v>
      </c>
      <c r="L22" s="380">
        <v>4</v>
      </c>
      <c r="M22" s="380">
        <v>1</v>
      </c>
      <c r="N22" s="380">
        <v>4</v>
      </c>
      <c r="O22" s="380">
        <v>4</v>
      </c>
      <c r="P22" s="380"/>
      <c r="Q22" s="380"/>
      <c r="R22" s="380">
        <v>2</v>
      </c>
      <c r="S22" s="496">
        <v>2</v>
      </c>
      <c r="T22" s="496"/>
      <c r="U22" s="496">
        <v>2</v>
      </c>
      <c r="V22" s="496">
        <v>2</v>
      </c>
      <c r="W22" s="496">
        <v>4</v>
      </c>
      <c r="X22" s="496">
        <v>3</v>
      </c>
      <c r="Y22" s="496">
        <v>4</v>
      </c>
      <c r="Z22" s="496">
        <v>4</v>
      </c>
      <c r="AA22" s="380"/>
      <c r="AB22" s="417">
        <v>10</v>
      </c>
      <c r="AC22" s="400"/>
      <c r="AD22" s="414">
        <v>3</v>
      </c>
      <c r="AE22" s="414">
        <v>3</v>
      </c>
      <c r="AF22" s="414">
        <v>5</v>
      </c>
      <c r="AG22" s="414">
        <v>4</v>
      </c>
      <c r="AH22" s="414">
        <v>5</v>
      </c>
      <c r="AI22" s="502">
        <v>75</v>
      </c>
      <c r="AJ22" s="400"/>
      <c r="AK22" s="195"/>
      <c r="AM22" s="344"/>
      <c r="AN22" s="728"/>
      <c r="AO22" s="729"/>
      <c r="AP22" s="730"/>
      <c r="AQ22" s="730"/>
      <c r="AR22" s="730"/>
      <c r="AS22" s="730"/>
      <c r="AT22" s="270"/>
      <c r="AU22" s="270"/>
      <c r="AV22" s="270"/>
      <c r="AW22" s="731"/>
      <c r="AX22" s="731"/>
      <c r="AY22" s="731"/>
      <c r="AZ22" s="731"/>
      <c r="BA22" s="731"/>
      <c r="BB22" s="731"/>
      <c r="BC22" s="731"/>
      <c r="BD22" s="731"/>
      <c r="BE22" s="731"/>
    </row>
    <row r="23" spans="1:58" ht="30.75" customHeight="1" x14ac:dyDescent="0.3">
      <c r="A23" s="335">
        <v>3</v>
      </c>
      <c r="B23" s="381">
        <v>1103</v>
      </c>
      <c r="C23" s="378" t="s">
        <v>600</v>
      </c>
      <c r="D23" s="519" t="s">
        <v>393</v>
      </c>
      <c r="E23" s="415"/>
      <c r="F23" s="514">
        <v>1</v>
      </c>
      <c r="G23" s="490">
        <v>2</v>
      </c>
      <c r="H23" s="490"/>
      <c r="I23" s="490"/>
      <c r="J23" s="490">
        <v>0</v>
      </c>
      <c r="K23" s="490">
        <v>2</v>
      </c>
      <c r="L23" s="380">
        <v>2</v>
      </c>
      <c r="M23" s="380">
        <v>2</v>
      </c>
      <c r="N23" s="380">
        <v>2</v>
      </c>
      <c r="O23" s="380"/>
      <c r="P23" s="380"/>
      <c r="Q23" s="380">
        <v>0</v>
      </c>
      <c r="R23" s="380">
        <v>0</v>
      </c>
      <c r="S23" s="496">
        <v>0</v>
      </c>
      <c r="T23" s="496"/>
      <c r="U23" s="496"/>
      <c r="V23" s="496">
        <v>1</v>
      </c>
      <c r="W23" s="496">
        <v>0</v>
      </c>
      <c r="X23" s="496">
        <v>0</v>
      </c>
      <c r="Y23" s="496">
        <v>0</v>
      </c>
      <c r="Z23" s="496"/>
      <c r="AA23" s="380"/>
      <c r="AB23" s="417">
        <v>8</v>
      </c>
      <c r="AC23" s="400"/>
      <c r="AD23" s="414">
        <v>4</v>
      </c>
      <c r="AE23" s="414">
        <v>4</v>
      </c>
      <c r="AF23" s="414">
        <v>5</v>
      </c>
      <c r="AG23" s="414">
        <v>5</v>
      </c>
      <c r="AH23" s="414">
        <v>5</v>
      </c>
      <c r="AI23" s="502">
        <v>27</v>
      </c>
      <c r="AJ23" s="400"/>
      <c r="AK23" s="195"/>
      <c r="AM23" s="342"/>
      <c r="AN23" s="728"/>
      <c r="AO23" s="729"/>
      <c r="AP23" s="730"/>
      <c r="AQ23" s="730"/>
      <c r="AR23" s="730"/>
      <c r="AS23" s="730"/>
      <c r="AT23" s="270"/>
      <c r="AU23" s="270"/>
      <c r="AV23" s="270"/>
      <c r="AW23" s="731"/>
      <c r="AX23" s="731"/>
      <c r="AY23" s="731"/>
      <c r="AZ23" s="731"/>
      <c r="BA23" s="731"/>
      <c r="BB23" s="731"/>
      <c r="BC23" s="731"/>
      <c r="BD23" s="731"/>
      <c r="BE23" s="731"/>
    </row>
    <row r="24" spans="1:58" ht="15.9" customHeight="1" x14ac:dyDescent="0.3">
      <c r="A24" s="335">
        <v>4</v>
      </c>
      <c r="B24" s="381">
        <v>1104</v>
      </c>
      <c r="C24" s="378" t="s">
        <v>601</v>
      </c>
      <c r="D24" s="519" t="s">
        <v>394</v>
      </c>
      <c r="E24" s="415"/>
      <c r="F24" s="514">
        <v>2</v>
      </c>
      <c r="G24" s="490">
        <v>2</v>
      </c>
      <c r="H24" s="490">
        <v>2</v>
      </c>
      <c r="I24" s="490">
        <v>2</v>
      </c>
      <c r="J24" s="490">
        <v>2</v>
      </c>
      <c r="K24" s="490">
        <v>2</v>
      </c>
      <c r="L24" s="380"/>
      <c r="M24" s="380">
        <v>4</v>
      </c>
      <c r="N24" s="380">
        <v>3</v>
      </c>
      <c r="O24" s="380">
        <v>4</v>
      </c>
      <c r="P24" s="380"/>
      <c r="Q24" s="380">
        <v>2</v>
      </c>
      <c r="R24" s="380">
        <v>1</v>
      </c>
      <c r="S24" s="496">
        <v>1</v>
      </c>
      <c r="T24" s="496"/>
      <c r="U24" s="496">
        <v>1</v>
      </c>
      <c r="V24" s="496">
        <v>2</v>
      </c>
      <c r="W24" s="496">
        <v>4</v>
      </c>
      <c r="X24" s="496">
        <v>3</v>
      </c>
      <c r="Y24" s="496">
        <v>4</v>
      </c>
      <c r="Z24" s="496"/>
      <c r="AA24" s="380"/>
      <c r="AB24" s="417">
        <v>9</v>
      </c>
      <c r="AC24" s="400"/>
      <c r="AD24" s="414">
        <v>5</v>
      </c>
      <c r="AE24" s="414">
        <v>4</v>
      </c>
      <c r="AF24" s="414">
        <v>5</v>
      </c>
      <c r="AG24" s="414">
        <v>4</v>
      </c>
      <c r="AH24" s="414">
        <v>5</v>
      </c>
      <c r="AI24" s="502">
        <v>55</v>
      </c>
      <c r="AJ24" s="400"/>
      <c r="AK24" s="195"/>
      <c r="AO24" s="82"/>
      <c r="AP24" s="199"/>
      <c r="AQ24" s="199"/>
      <c r="AR24" s="199"/>
      <c r="AS24" s="199"/>
      <c r="AT24" s="199"/>
      <c r="AU24" s="199"/>
      <c r="AV24" s="199"/>
      <c r="AW24" s="199"/>
      <c r="AX24" s="199"/>
      <c r="AY24" s="199"/>
      <c r="AZ24" s="199"/>
      <c r="BA24" s="199"/>
      <c r="BB24" s="199"/>
      <c r="BC24" s="199"/>
      <c r="BD24" s="199"/>
      <c r="BE24" s="199"/>
      <c r="BF24" s="199"/>
    </row>
    <row r="25" spans="1:58" ht="24.75" customHeight="1" x14ac:dyDescent="0.3">
      <c r="A25" s="335">
        <v>5</v>
      </c>
      <c r="B25" s="381">
        <v>1105</v>
      </c>
      <c r="C25" s="378" t="s">
        <v>602</v>
      </c>
      <c r="D25" s="519" t="s">
        <v>395</v>
      </c>
      <c r="E25" s="385"/>
      <c r="F25" s="514">
        <v>2</v>
      </c>
      <c r="G25" s="490">
        <v>2</v>
      </c>
      <c r="H25" s="490">
        <v>1</v>
      </c>
      <c r="I25" s="490">
        <v>2</v>
      </c>
      <c r="J25" s="490">
        <v>2</v>
      </c>
      <c r="K25" s="490">
        <v>2</v>
      </c>
      <c r="L25" s="489"/>
      <c r="M25" s="489">
        <v>4</v>
      </c>
      <c r="N25" s="489">
        <v>4</v>
      </c>
      <c r="O25" s="489">
        <v>4</v>
      </c>
      <c r="P25" s="373"/>
      <c r="Q25" s="489">
        <v>2</v>
      </c>
      <c r="R25" s="489">
        <v>2</v>
      </c>
      <c r="S25" s="497">
        <v>2</v>
      </c>
      <c r="T25" s="497"/>
      <c r="U25" s="497">
        <v>2</v>
      </c>
      <c r="V25" s="497"/>
      <c r="W25" s="497">
        <v>4</v>
      </c>
      <c r="X25" s="497">
        <v>4</v>
      </c>
      <c r="Y25" s="497">
        <v>4</v>
      </c>
      <c r="Z25" s="497"/>
      <c r="AA25" s="380"/>
      <c r="AB25" s="417">
        <v>10</v>
      </c>
      <c r="AC25" s="400"/>
      <c r="AD25" s="414">
        <v>3</v>
      </c>
      <c r="AE25" s="414">
        <v>3</v>
      </c>
      <c r="AF25" s="414">
        <v>5</v>
      </c>
      <c r="AG25" s="414">
        <v>4</v>
      </c>
      <c r="AH25" s="414">
        <v>5</v>
      </c>
      <c r="AI25" s="502">
        <v>44</v>
      </c>
      <c r="AJ25" s="400"/>
      <c r="AK25" s="195"/>
      <c r="AS25" s="336"/>
      <c r="AT25" s="336"/>
      <c r="AU25" s="336"/>
      <c r="AV25" s="336"/>
      <c r="AW25" s="336"/>
      <c r="AX25" s="336"/>
      <c r="AY25" s="336"/>
      <c r="AZ25" s="199"/>
      <c r="BA25" s="199"/>
      <c r="BB25" s="199"/>
      <c r="BC25" s="336"/>
      <c r="BD25" s="199"/>
      <c r="BE25" s="336"/>
      <c r="BF25" s="199"/>
    </row>
    <row r="26" spans="1:58" ht="15.9" customHeight="1" x14ac:dyDescent="0.3">
      <c r="A26" s="335">
        <v>6</v>
      </c>
      <c r="B26" s="381">
        <v>1106</v>
      </c>
      <c r="C26" s="378" t="s">
        <v>603</v>
      </c>
      <c r="D26" s="519" t="s">
        <v>396</v>
      </c>
      <c r="E26" s="385"/>
      <c r="F26" s="514">
        <v>2</v>
      </c>
      <c r="G26" s="490">
        <v>2</v>
      </c>
      <c r="H26" s="490">
        <v>2</v>
      </c>
      <c r="I26" s="490">
        <v>2</v>
      </c>
      <c r="J26" s="490">
        <v>1</v>
      </c>
      <c r="K26" s="490"/>
      <c r="L26" s="489">
        <v>4</v>
      </c>
      <c r="M26" s="489">
        <v>2</v>
      </c>
      <c r="N26" s="489">
        <v>4</v>
      </c>
      <c r="O26" s="489">
        <v>4</v>
      </c>
      <c r="P26" s="373"/>
      <c r="Q26" s="489"/>
      <c r="R26" s="489">
        <v>2</v>
      </c>
      <c r="S26" s="497">
        <v>2</v>
      </c>
      <c r="T26" s="497">
        <v>2</v>
      </c>
      <c r="U26" s="497">
        <v>2</v>
      </c>
      <c r="V26" s="497">
        <v>2</v>
      </c>
      <c r="W26" s="497">
        <v>4</v>
      </c>
      <c r="X26" s="497">
        <v>4</v>
      </c>
      <c r="Y26" s="497">
        <v>4</v>
      </c>
      <c r="Z26" s="497">
        <v>4</v>
      </c>
      <c r="AA26" s="380"/>
      <c r="AB26" s="417">
        <v>10</v>
      </c>
      <c r="AC26" s="400"/>
      <c r="AD26" s="414">
        <v>5</v>
      </c>
      <c r="AE26" s="414">
        <v>5</v>
      </c>
      <c r="AF26" s="414">
        <v>5</v>
      </c>
      <c r="AG26" s="414">
        <v>5</v>
      </c>
      <c r="AH26" s="414">
        <v>5</v>
      </c>
      <c r="AI26" s="502">
        <v>86</v>
      </c>
      <c r="AJ26" s="400"/>
      <c r="AK26" s="195"/>
    </row>
    <row r="27" spans="1:58" ht="15.9" customHeight="1" x14ac:dyDescent="0.3">
      <c r="A27" s="335">
        <v>7</v>
      </c>
      <c r="B27" s="381">
        <v>1107</v>
      </c>
      <c r="C27" s="378" t="s">
        <v>604</v>
      </c>
      <c r="D27" s="519" t="s">
        <v>397</v>
      </c>
      <c r="E27" s="385"/>
      <c r="F27" s="515">
        <v>2</v>
      </c>
      <c r="G27" s="491">
        <v>2</v>
      </c>
      <c r="H27" s="491">
        <v>2</v>
      </c>
      <c r="I27" s="491">
        <v>2</v>
      </c>
      <c r="J27" s="491">
        <v>1</v>
      </c>
      <c r="K27" s="491">
        <v>2</v>
      </c>
      <c r="L27" s="492"/>
      <c r="M27" s="492">
        <v>2</v>
      </c>
      <c r="N27" s="492"/>
      <c r="O27" s="492"/>
      <c r="P27" s="373"/>
      <c r="Q27" s="492">
        <v>0</v>
      </c>
      <c r="R27" s="489"/>
      <c r="S27" s="497">
        <v>0</v>
      </c>
      <c r="T27" s="497">
        <v>0</v>
      </c>
      <c r="U27" s="497"/>
      <c r="V27" s="497"/>
      <c r="W27" s="497"/>
      <c r="X27" s="497"/>
      <c r="Y27" s="497"/>
      <c r="Z27" s="497"/>
      <c r="AA27" s="380"/>
      <c r="AB27" s="417">
        <v>8</v>
      </c>
      <c r="AC27" s="405"/>
      <c r="AD27" s="414">
        <v>3</v>
      </c>
      <c r="AE27" s="414">
        <v>3</v>
      </c>
      <c r="AF27" s="414">
        <v>5</v>
      </c>
      <c r="AG27" s="414">
        <v>4</v>
      </c>
      <c r="AH27" s="414">
        <v>5</v>
      </c>
      <c r="AI27" s="502">
        <v>22</v>
      </c>
      <c r="AJ27" s="405"/>
      <c r="AK27" s="195"/>
    </row>
    <row r="28" spans="1:58" ht="15.9" customHeight="1" x14ac:dyDescent="0.3">
      <c r="A28" s="335">
        <v>8</v>
      </c>
      <c r="B28" s="381">
        <v>1108</v>
      </c>
      <c r="C28" s="378" t="s">
        <v>605</v>
      </c>
      <c r="D28" s="519" t="s">
        <v>398</v>
      </c>
      <c r="E28" s="385"/>
      <c r="F28" s="516" t="s">
        <v>348</v>
      </c>
      <c r="G28" s="385" t="s">
        <v>348</v>
      </c>
      <c r="H28" s="385" t="s">
        <v>348</v>
      </c>
      <c r="I28" s="385" t="s">
        <v>348</v>
      </c>
      <c r="J28" s="385" t="s">
        <v>348</v>
      </c>
      <c r="K28" s="385" t="s">
        <v>348</v>
      </c>
      <c r="L28" s="385" t="s">
        <v>348</v>
      </c>
      <c r="M28" s="385" t="s">
        <v>348</v>
      </c>
      <c r="N28" s="385" t="s">
        <v>348</v>
      </c>
      <c r="O28" s="385" t="s">
        <v>348</v>
      </c>
      <c r="P28" s="373"/>
      <c r="Q28" s="416" t="s">
        <v>348</v>
      </c>
      <c r="R28" s="416" t="s">
        <v>348</v>
      </c>
      <c r="S28" s="416" t="s">
        <v>348</v>
      </c>
      <c r="T28" s="416" t="s">
        <v>348</v>
      </c>
      <c r="U28" s="416" t="s">
        <v>348</v>
      </c>
      <c r="V28" s="416" t="s">
        <v>348</v>
      </c>
      <c r="W28" s="416" t="s">
        <v>348</v>
      </c>
      <c r="X28" s="416" t="s">
        <v>348</v>
      </c>
      <c r="Y28" s="416" t="s">
        <v>348</v>
      </c>
      <c r="Z28" s="416" t="s">
        <v>348</v>
      </c>
      <c r="AA28" s="380"/>
      <c r="AB28" s="417">
        <v>2</v>
      </c>
      <c r="AC28" s="406"/>
      <c r="AD28" s="414">
        <v>5</v>
      </c>
      <c r="AE28" s="414">
        <v>5</v>
      </c>
      <c r="AF28" s="414">
        <v>5</v>
      </c>
      <c r="AG28" s="414">
        <v>5</v>
      </c>
      <c r="AH28" s="414">
        <v>5</v>
      </c>
      <c r="AI28" s="502">
        <v>2</v>
      </c>
      <c r="AJ28" s="406"/>
      <c r="AK28" s="195"/>
    </row>
    <row r="29" spans="1:58" ht="15.9" customHeight="1" x14ac:dyDescent="0.3">
      <c r="A29" s="335">
        <v>9</v>
      </c>
      <c r="B29" s="381">
        <v>1109</v>
      </c>
      <c r="C29" s="378" t="s">
        <v>606</v>
      </c>
      <c r="D29" s="519" t="s">
        <v>399</v>
      </c>
      <c r="E29" s="385"/>
      <c r="F29" s="514">
        <v>2</v>
      </c>
      <c r="G29" s="490">
        <v>2</v>
      </c>
      <c r="H29" s="490">
        <v>2</v>
      </c>
      <c r="I29" s="490">
        <v>2</v>
      </c>
      <c r="J29" s="490"/>
      <c r="K29" s="490">
        <v>2</v>
      </c>
      <c r="L29" s="490">
        <v>4</v>
      </c>
      <c r="M29" s="490"/>
      <c r="N29" s="490">
        <v>3</v>
      </c>
      <c r="O29" s="490">
        <v>4</v>
      </c>
      <c r="P29" s="373"/>
      <c r="Q29" s="490">
        <v>2</v>
      </c>
      <c r="R29" s="489">
        <v>2</v>
      </c>
      <c r="S29" s="497">
        <v>2</v>
      </c>
      <c r="T29" s="497">
        <v>1</v>
      </c>
      <c r="U29" s="497">
        <v>2</v>
      </c>
      <c r="V29" s="497">
        <v>2</v>
      </c>
      <c r="W29" s="497">
        <v>4</v>
      </c>
      <c r="X29" s="497">
        <v>4</v>
      </c>
      <c r="Y29" s="497">
        <v>4</v>
      </c>
      <c r="Z29" s="497">
        <v>4</v>
      </c>
      <c r="AA29" s="380"/>
      <c r="AB29" s="417">
        <v>10</v>
      </c>
      <c r="AC29" s="400"/>
      <c r="AD29" s="414">
        <v>3</v>
      </c>
      <c r="AE29" s="414">
        <v>3</v>
      </c>
      <c r="AF29" s="414">
        <v>5</v>
      </c>
      <c r="AG29" s="414">
        <v>4</v>
      </c>
      <c r="AH29" s="414">
        <v>5</v>
      </c>
      <c r="AI29" s="502">
        <v>63</v>
      </c>
      <c r="AJ29" s="400"/>
      <c r="AK29" s="195"/>
    </row>
    <row r="30" spans="1:58" ht="15.9" customHeight="1" x14ac:dyDescent="0.3">
      <c r="A30" s="335">
        <v>10</v>
      </c>
      <c r="B30" s="381">
        <v>1110</v>
      </c>
      <c r="C30" s="378" t="s">
        <v>607</v>
      </c>
      <c r="D30" s="519" t="s">
        <v>400</v>
      </c>
      <c r="E30" s="385"/>
      <c r="F30" s="514">
        <v>2</v>
      </c>
      <c r="G30" s="490">
        <v>2</v>
      </c>
      <c r="H30" s="490">
        <v>2</v>
      </c>
      <c r="I30" s="490">
        <v>2</v>
      </c>
      <c r="J30" s="490">
        <v>1</v>
      </c>
      <c r="K30" s="490">
        <v>1</v>
      </c>
      <c r="L30" s="489">
        <v>4</v>
      </c>
      <c r="M30" s="489">
        <v>4</v>
      </c>
      <c r="N30" s="489">
        <v>4</v>
      </c>
      <c r="O30" s="489">
        <v>4</v>
      </c>
      <c r="P30" s="373"/>
      <c r="Q30" s="489">
        <v>0</v>
      </c>
      <c r="R30" s="489"/>
      <c r="S30" s="497">
        <v>1</v>
      </c>
      <c r="T30" s="497"/>
      <c r="U30" s="497">
        <v>2</v>
      </c>
      <c r="V30" s="497">
        <v>2</v>
      </c>
      <c r="W30" s="497">
        <v>0</v>
      </c>
      <c r="X30" s="497">
        <v>1</v>
      </c>
      <c r="Y30" s="497">
        <v>1</v>
      </c>
      <c r="Z30" s="497"/>
      <c r="AA30" s="380"/>
      <c r="AB30" s="417">
        <v>8</v>
      </c>
      <c r="AC30" s="406"/>
      <c r="AD30" s="414">
        <v>3</v>
      </c>
      <c r="AE30" s="414">
        <v>3</v>
      </c>
      <c r="AF30" s="414">
        <v>5</v>
      </c>
      <c r="AG30" s="414">
        <v>4</v>
      </c>
      <c r="AH30" s="414">
        <v>5</v>
      </c>
      <c r="AI30" s="502">
        <v>53</v>
      </c>
      <c r="AJ30" s="406"/>
      <c r="AK30" s="195"/>
    </row>
    <row r="31" spans="1:58" ht="15.9" customHeight="1" x14ac:dyDescent="0.3">
      <c r="A31" s="335">
        <v>11</v>
      </c>
      <c r="B31" s="381">
        <v>1111</v>
      </c>
      <c r="C31" s="378" t="s">
        <v>608</v>
      </c>
      <c r="D31" s="519" t="s">
        <v>401</v>
      </c>
      <c r="E31" s="385"/>
      <c r="F31" s="514">
        <v>2</v>
      </c>
      <c r="G31" s="490">
        <v>2</v>
      </c>
      <c r="H31" s="490">
        <v>2</v>
      </c>
      <c r="I31" s="490">
        <v>2</v>
      </c>
      <c r="J31" s="490">
        <v>2</v>
      </c>
      <c r="K31" s="490"/>
      <c r="L31" s="489">
        <v>4</v>
      </c>
      <c r="M31" s="489">
        <v>4</v>
      </c>
      <c r="N31" s="489"/>
      <c r="O31" s="489">
        <v>4</v>
      </c>
      <c r="P31" s="384"/>
      <c r="Q31" s="380">
        <v>2</v>
      </c>
      <c r="R31" s="380">
        <v>2</v>
      </c>
      <c r="S31" s="496">
        <v>2</v>
      </c>
      <c r="T31" s="496">
        <v>2</v>
      </c>
      <c r="U31" s="496">
        <v>2</v>
      </c>
      <c r="V31" s="496">
        <v>2</v>
      </c>
      <c r="W31" s="496">
        <v>4</v>
      </c>
      <c r="X31" s="496">
        <v>4</v>
      </c>
      <c r="Y31" s="496">
        <v>4</v>
      </c>
      <c r="Z31" s="496">
        <v>3</v>
      </c>
      <c r="AA31" s="380"/>
      <c r="AB31" s="417">
        <v>10</v>
      </c>
      <c r="AC31" s="400"/>
      <c r="AD31" s="414">
        <v>3</v>
      </c>
      <c r="AE31" s="414">
        <v>1</v>
      </c>
      <c r="AF31" s="414">
        <v>3</v>
      </c>
      <c r="AG31" s="414">
        <v>1</v>
      </c>
      <c r="AH31" s="414">
        <v>5</v>
      </c>
      <c r="AI31" s="502">
        <v>84</v>
      </c>
      <c r="AJ31" s="400"/>
      <c r="AK31" s="195"/>
    </row>
    <row r="32" spans="1:58" ht="15.9" customHeight="1" x14ac:dyDescent="0.3">
      <c r="A32" s="335">
        <v>12</v>
      </c>
      <c r="B32" s="381">
        <v>1112</v>
      </c>
      <c r="C32" s="378" t="s">
        <v>609</v>
      </c>
      <c r="D32" s="519" t="s">
        <v>402</v>
      </c>
      <c r="E32" s="385"/>
      <c r="F32" s="515">
        <v>1</v>
      </c>
      <c r="G32" s="491">
        <v>2</v>
      </c>
      <c r="H32" s="491">
        <v>1</v>
      </c>
      <c r="I32" s="491">
        <v>2</v>
      </c>
      <c r="J32" s="491">
        <v>1</v>
      </c>
      <c r="K32" s="491"/>
      <c r="L32" s="492"/>
      <c r="M32" s="492">
        <v>2</v>
      </c>
      <c r="N32" s="492"/>
      <c r="O32" s="492">
        <v>4</v>
      </c>
      <c r="P32" s="376"/>
      <c r="Q32" s="493"/>
      <c r="R32" s="493"/>
      <c r="S32" s="498"/>
      <c r="T32" s="498"/>
      <c r="U32" s="498">
        <v>2</v>
      </c>
      <c r="V32" s="498">
        <v>1</v>
      </c>
      <c r="W32" s="498"/>
      <c r="X32" s="498"/>
      <c r="Y32" s="498"/>
      <c r="Z32" s="498"/>
      <c r="AA32" s="379"/>
      <c r="AB32" s="415">
        <v>6</v>
      </c>
      <c r="AC32" s="400"/>
      <c r="AD32" s="414">
        <v>2</v>
      </c>
      <c r="AE32" s="414">
        <v>4</v>
      </c>
      <c r="AF32" s="414">
        <v>2</v>
      </c>
      <c r="AG32" s="414">
        <v>5</v>
      </c>
      <c r="AH32" s="414">
        <v>3</v>
      </c>
      <c r="AI32" s="502">
        <v>42</v>
      </c>
      <c r="AJ32" s="400"/>
    </row>
    <row r="33" spans="1:36" ht="15.9" customHeight="1" x14ac:dyDescent="0.3">
      <c r="A33" s="335">
        <v>13</v>
      </c>
      <c r="B33" s="381">
        <v>1113</v>
      </c>
      <c r="C33" s="378" t="s">
        <v>610</v>
      </c>
      <c r="D33" s="519" t="s">
        <v>403</v>
      </c>
      <c r="E33" s="520"/>
      <c r="F33" s="509">
        <v>2</v>
      </c>
      <c r="G33" s="393">
        <v>2</v>
      </c>
      <c r="H33" s="393"/>
      <c r="I33" s="393"/>
      <c r="J33" s="393">
        <v>2</v>
      </c>
      <c r="K33" s="393">
        <v>1</v>
      </c>
      <c r="L33" s="393">
        <v>4</v>
      </c>
      <c r="M33" s="393">
        <v>4</v>
      </c>
      <c r="N33" s="393">
        <v>1</v>
      </c>
      <c r="O33" s="393"/>
      <c r="P33" s="376"/>
      <c r="Q33" s="493"/>
      <c r="R33" s="493"/>
      <c r="S33" s="498">
        <v>1</v>
      </c>
      <c r="T33" s="498">
        <v>0</v>
      </c>
      <c r="U33" s="498">
        <v>0</v>
      </c>
      <c r="V33" s="498">
        <v>2</v>
      </c>
      <c r="W33" s="498"/>
      <c r="X33" s="498">
        <v>2</v>
      </c>
      <c r="Y33" s="498">
        <v>2</v>
      </c>
      <c r="Z33" s="498">
        <v>0</v>
      </c>
      <c r="AA33" s="376"/>
      <c r="AB33" s="385">
        <v>8</v>
      </c>
      <c r="AC33" s="400"/>
      <c r="AD33" s="414">
        <v>5</v>
      </c>
      <c r="AE33" s="414">
        <v>3</v>
      </c>
      <c r="AF33" s="414">
        <v>5</v>
      </c>
      <c r="AG33" s="414">
        <v>4</v>
      </c>
      <c r="AH33" s="414">
        <v>5</v>
      </c>
      <c r="AI33" s="502">
        <v>27</v>
      </c>
      <c r="AJ33" s="400"/>
    </row>
    <row r="34" spans="1:36" ht="15.9" customHeight="1" x14ac:dyDescent="0.3">
      <c r="A34" s="335">
        <v>14</v>
      </c>
      <c r="B34" s="381">
        <v>1114</v>
      </c>
      <c r="C34" s="378" t="s">
        <v>611</v>
      </c>
      <c r="D34" s="519" t="s">
        <v>404</v>
      </c>
      <c r="E34" s="520"/>
      <c r="F34" s="509">
        <v>2</v>
      </c>
      <c r="G34" s="393">
        <v>2</v>
      </c>
      <c r="H34" s="393">
        <v>1</v>
      </c>
      <c r="I34" s="393">
        <v>1</v>
      </c>
      <c r="J34" s="393"/>
      <c r="K34" s="393"/>
      <c r="L34" s="393">
        <v>0</v>
      </c>
      <c r="M34" s="393">
        <v>1</v>
      </c>
      <c r="N34" s="393">
        <v>0</v>
      </c>
      <c r="O34" s="393"/>
      <c r="P34" s="376"/>
      <c r="Q34" s="493">
        <v>1</v>
      </c>
      <c r="R34" s="493"/>
      <c r="S34" s="498">
        <v>0</v>
      </c>
      <c r="T34" s="498"/>
      <c r="U34" s="498">
        <v>1</v>
      </c>
      <c r="V34" s="498">
        <v>1</v>
      </c>
      <c r="W34" s="498">
        <v>0</v>
      </c>
      <c r="X34" s="498">
        <v>0</v>
      </c>
      <c r="Y34" s="498"/>
      <c r="Z34" s="498">
        <v>0</v>
      </c>
      <c r="AA34" s="376"/>
      <c r="AB34" s="385">
        <v>7</v>
      </c>
      <c r="AC34" s="400"/>
      <c r="AD34" s="414">
        <v>4</v>
      </c>
      <c r="AE34" s="414">
        <v>3</v>
      </c>
      <c r="AF34" s="414">
        <v>3</v>
      </c>
      <c r="AG34" s="414">
        <v>3</v>
      </c>
      <c r="AH34" s="414">
        <v>4</v>
      </c>
      <c r="AI34" s="502">
        <v>16</v>
      </c>
      <c r="AJ34" s="400"/>
    </row>
    <row r="35" spans="1:36" ht="15.9" customHeight="1" x14ac:dyDescent="0.3">
      <c r="A35" s="335">
        <v>15</v>
      </c>
      <c r="B35" s="381">
        <v>1115</v>
      </c>
      <c r="C35" s="378" t="s">
        <v>612</v>
      </c>
      <c r="D35" s="519" t="s">
        <v>405</v>
      </c>
      <c r="E35" s="520"/>
      <c r="F35" s="509">
        <v>1</v>
      </c>
      <c r="G35" s="393">
        <v>0</v>
      </c>
      <c r="H35" s="393"/>
      <c r="I35" s="393"/>
      <c r="J35" s="393">
        <v>1</v>
      </c>
      <c r="K35" s="393">
        <v>2</v>
      </c>
      <c r="L35" s="393"/>
      <c r="M35" s="393">
        <v>4</v>
      </c>
      <c r="N35" s="393">
        <v>2</v>
      </c>
      <c r="O35" s="393"/>
      <c r="P35" s="376"/>
      <c r="Q35" s="493"/>
      <c r="R35" s="493">
        <v>0</v>
      </c>
      <c r="S35" s="498">
        <v>2</v>
      </c>
      <c r="T35" s="498"/>
      <c r="U35" s="498">
        <v>0</v>
      </c>
      <c r="V35" s="498">
        <v>2</v>
      </c>
      <c r="W35" s="498">
        <v>0</v>
      </c>
      <c r="X35" s="498"/>
      <c r="Y35" s="498"/>
      <c r="Z35" s="498">
        <v>0</v>
      </c>
      <c r="AA35" s="376"/>
      <c r="AB35" s="385">
        <v>6</v>
      </c>
      <c r="AC35" s="400"/>
      <c r="AD35" s="414">
        <v>5</v>
      </c>
      <c r="AE35" s="414">
        <v>3</v>
      </c>
      <c r="AF35" s="414">
        <v>5</v>
      </c>
      <c r="AG35" s="414">
        <v>5</v>
      </c>
      <c r="AH35" s="414">
        <v>5</v>
      </c>
      <c r="AI35" s="502">
        <v>16</v>
      </c>
      <c r="AJ35" s="400"/>
    </row>
    <row r="36" spans="1:36" ht="15.9" customHeight="1" x14ac:dyDescent="0.3">
      <c r="A36" s="335">
        <v>16</v>
      </c>
      <c r="B36" s="381">
        <v>1116</v>
      </c>
      <c r="C36" s="378" t="s">
        <v>613</v>
      </c>
      <c r="D36" s="519" t="s">
        <v>406</v>
      </c>
      <c r="E36" s="520"/>
      <c r="F36" s="509">
        <v>2</v>
      </c>
      <c r="G36" s="393">
        <v>2</v>
      </c>
      <c r="H36" s="393">
        <v>2</v>
      </c>
      <c r="I36" s="393">
        <v>1</v>
      </c>
      <c r="J36" s="393"/>
      <c r="K36" s="393"/>
      <c r="L36" s="393">
        <v>4</v>
      </c>
      <c r="M36" s="393">
        <v>1</v>
      </c>
      <c r="N36" s="393">
        <v>4</v>
      </c>
      <c r="O36" s="393">
        <v>2</v>
      </c>
      <c r="P36" s="376"/>
      <c r="Q36" s="493">
        <v>2</v>
      </c>
      <c r="R36" s="493">
        <v>2</v>
      </c>
      <c r="S36" s="498">
        <v>1</v>
      </c>
      <c r="T36" s="498">
        <v>1</v>
      </c>
      <c r="U36" s="498">
        <v>1</v>
      </c>
      <c r="V36" s="498"/>
      <c r="W36" s="498">
        <v>2</v>
      </c>
      <c r="X36" s="498"/>
      <c r="Y36" s="498">
        <v>4</v>
      </c>
      <c r="Z36" s="498">
        <v>0</v>
      </c>
      <c r="AA36" s="376"/>
      <c r="AB36" s="385">
        <v>9</v>
      </c>
      <c r="AC36" s="406"/>
      <c r="AD36" s="414">
        <v>3</v>
      </c>
      <c r="AE36" s="414">
        <v>3</v>
      </c>
      <c r="AF36" s="414">
        <v>5</v>
      </c>
      <c r="AG36" s="414">
        <v>4</v>
      </c>
      <c r="AH36" s="414">
        <v>5</v>
      </c>
      <c r="AI36" s="502">
        <v>40</v>
      </c>
      <c r="AJ36" s="406"/>
    </row>
    <row r="37" spans="1:36" ht="15.9" customHeight="1" x14ac:dyDescent="0.3">
      <c r="A37" s="335">
        <v>17</v>
      </c>
      <c r="B37" s="381">
        <v>1117</v>
      </c>
      <c r="C37" s="378" t="s">
        <v>614</v>
      </c>
      <c r="D37" s="519" t="s">
        <v>407</v>
      </c>
      <c r="E37" s="520"/>
      <c r="F37" s="509">
        <v>1</v>
      </c>
      <c r="G37" s="393"/>
      <c r="H37" s="393">
        <v>2</v>
      </c>
      <c r="I37" s="393"/>
      <c r="J37" s="393">
        <v>1</v>
      </c>
      <c r="K37" s="393">
        <v>1</v>
      </c>
      <c r="L37" s="393">
        <v>1</v>
      </c>
      <c r="M37" s="393">
        <v>2</v>
      </c>
      <c r="N37" s="393"/>
      <c r="O37" s="393">
        <v>0</v>
      </c>
      <c r="P37" s="376"/>
      <c r="Q37" s="493">
        <v>2</v>
      </c>
      <c r="R37" s="493"/>
      <c r="S37" s="498"/>
      <c r="T37" s="498"/>
      <c r="U37" s="498">
        <v>1</v>
      </c>
      <c r="V37" s="498">
        <v>1</v>
      </c>
      <c r="W37" s="498">
        <v>4</v>
      </c>
      <c r="X37" s="498">
        <v>0</v>
      </c>
      <c r="Y37" s="498"/>
      <c r="Z37" s="498">
        <v>2</v>
      </c>
      <c r="AA37" s="376"/>
      <c r="AB37" s="385">
        <v>8</v>
      </c>
      <c r="AC37" s="400"/>
      <c r="AD37" s="414">
        <v>3</v>
      </c>
      <c r="AE37" s="414">
        <v>3</v>
      </c>
      <c r="AF37" s="414">
        <v>5</v>
      </c>
      <c r="AG37" s="414">
        <v>4</v>
      </c>
      <c r="AH37" s="414">
        <v>5</v>
      </c>
      <c r="AI37" s="502">
        <v>35</v>
      </c>
      <c r="AJ37" s="400"/>
    </row>
    <row r="38" spans="1:36" ht="15.9" customHeight="1" x14ac:dyDescent="0.3">
      <c r="A38" s="335">
        <v>18</v>
      </c>
      <c r="B38" s="381">
        <v>1118</v>
      </c>
      <c r="C38" s="378" t="s">
        <v>615</v>
      </c>
      <c r="D38" s="519" t="s">
        <v>408</v>
      </c>
      <c r="E38" s="520"/>
      <c r="F38" s="509">
        <v>1</v>
      </c>
      <c r="G38" s="393">
        <v>1</v>
      </c>
      <c r="H38" s="393">
        <v>1</v>
      </c>
      <c r="I38" s="393">
        <v>2</v>
      </c>
      <c r="J38" s="393"/>
      <c r="K38" s="393">
        <v>2</v>
      </c>
      <c r="L38" s="393">
        <v>1</v>
      </c>
      <c r="M38" s="393">
        <v>2</v>
      </c>
      <c r="N38" s="393">
        <v>3</v>
      </c>
      <c r="O38" s="393"/>
      <c r="P38" s="376"/>
      <c r="Q38" s="493"/>
      <c r="R38" s="493"/>
      <c r="S38" s="498">
        <v>2</v>
      </c>
      <c r="T38" s="498"/>
      <c r="U38" s="498"/>
      <c r="V38" s="498">
        <v>2</v>
      </c>
      <c r="W38" s="498"/>
      <c r="X38" s="498">
        <v>4</v>
      </c>
      <c r="Y38" s="498"/>
      <c r="Z38" s="498">
        <v>4</v>
      </c>
      <c r="AA38" s="376"/>
      <c r="AB38" s="385">
        <v>7</v>
      </c>
      <c r="AC38" s="400"/>
      <c r="AD38" s="414">
        <v>5</v>
      </c>
      <c r="AE38" s="414">
        <v>5</v>
      </c>
      <c r="AF38" s="414">
        <v>5</v>
      </c>
      <c r="AG38" s="414">
        <v>3</v>
      </c>
      <c r="AH38" s="414">
        <v>5</v>
      </c>
      <c r="AI38" s="502">
        <v>47</v>
      </c>
      <c r="AJ38" s="400"/>
    </row>
    <row r="39" spans="1:36" ht="15.9" customHeight="1" x14ac:dyDescent="0.3">
      <c r="A39" s="335">
        <v>19</v>
      </c>
      <c r="B39" s="381">
        <v>1119</v>
      </c>
      <c r="C39" s="378" t="s">
        <v>616</v>
      </c>
      <c r="D39" s="519" t="s">
        <v>409</v>
      </c>
      <c r="E39" s="520"/>
      <c r="F39" s="509"/>
      <c r="G39" s="393">
        <v>2</v>
      </c>
      <c r="H39" s="393"/>
      <c r="I39" s="393">
        <v>2</v>
      </c>
      <c r="J39" s="393">
        <v>2</v>
      </c>
      <c r="K39" s="393">
        <v>2</v>
      </c>
      <c r="L39" s="393"/>
      <c r="M39" s="393">
        <v>4</v>
      </c>
      <c r="N39" s="393">
        <v>4</v>
      </c>
      <c r="O39" s="393">
        <v>4</v>
      </c>
      <c r="P39" s="376"/>
      <c r="Q39" s="493"/>
      <c r="R39" s="493"/>
      <c r="S39" s="498">
        <v>2</v>
      </c>
      <c r="T39" s="498">
        <v>0</v>
      </c>
      <c r="U39" s="498">
        <v>1</v>
      </c>
      <c r="V39" s="498">
        <v>2</v>
      </c>
      <c r="W39" s="498"/>
      <c r="X39" s="498">
        <v>0</v>
      </c>
      <c r="Y39" s="498">
        <v>3</v>
      </c>
      <c r="Z39" s="498">
        <v>4</v>
      </c>
      <c r="AA39" s="376"/>
      <c r="AB39" s="385">
        <v>9</v>
      </c>
      <c r="AC39" s="400"/>
      <c r="AD39" s="414">
        <v>4</v>
      </c>
      <c r="AE39" s="414">
        <v>3</v>
      </c>
      <c r="AF39" s="414">
        <v>5</v>
      </c>
      <c r="AG39" s="414">
        <v>4</v>
      </c>
      <c r="AH39" s="414">
        <v>5</v>
      </c>
      <c r="AI39" s="502">
        <v>53</v>
      </c>
      <c r="AJ39" s="400"/>
    </row>
    <row r="40" spans="1:36" ht="15.9" customHeight="1" x14ac:dyDescent="0.3">
      <c r="A40" s="335">
        <v>20</v>
      </c>
      <c r="B40" s="381">
        <v>1120</v>
      </c>
      <c r="C40" s="378" t="s">
        <v>617</v>
      </c>
      <c r="D40" s="519" t="s">
        <v>410</v>
      </c>
      <c r="E40" s="520"/>
      <c r="F40" s="509">
        <v>2</v>
      </c>
      <c r="G40" s="393">
        <v>1</v>
      </c>
      <c r="H40" s="393">
        <v>1</v>
      </c>
      <c r="I40" s="393">
        <v>1</v>
      </c>
      <c r="J40" s="393"/>
      <c r="K40" s="393">
        <v>2</v>
      </c>
      <c r="L40" s="393">
        <v>4</v>
      </c>
      <c r="M40" s="393">
        <v>2</v>
      </c>
      <c r="N40" s="393"/>
      <c r="O40" s="393">
        <v>3</v>
      </c>
      <c r="P40" s="376"/>
      <c r="Q40" s="493">
        <v>0</v>
      </c>
      <c r="R40" s="493">
        <v>1</v>
      </c>
      <c r="S40" s="498"/>
      <c r="T40" s="498">
        <v>1</v>
      </c>
      <c r="U40" s="498"/>
      <c r="V40" s="498">
        <v>1</v>
      </c>
      <c r="W40" s="498">
        <v>1</v>
      </c>
      <c r="X40" s="498">
        <v>0</v>
      </c>
      <c r="Y40" s="498">
        <v>3</v>
      </c>
      <c r="Z40" s="498"/>
      <c r="AA40" s="376"/>
      <c r="AB40" s="385">
        <v>7</v>
      </c>
      <c r="AC40" s="400"/>
      <c r="AD40" s="414">
        <v>2</v>
      </c>
      <c r="AE40" s="414">
        <v>5</v>
      </c>
      <c r="AF40" s="414">
        <v>3</v>
      </c>
      <c r="AG40" s="414">
        <v>4</v>
      </c>
      <c r="AH40" s="414">
        <v>2</v>
      </c>
      <c r="AI40" s="502">
        <v>38</v>
      </c>
      <c r="AJ40" s="400"/>
    </row>
    <row r="41" spans="1:36" ht="15.9" customHeight="1" x14ac:dyDescent="0.3">
      <c r="A41" s="335">
        <v>21</v>
      </c>
      <c r="B41" s="381">
        <v>1121</v>
      </c>
      <c r="C41" s="378" t="s">
        <v>618</v>
      </c>
      <c r="D41" s="519" t="s">
        <v>411</v>
      </c>
      <c r="E41" s="520"/>
      <c r="F41" s="509">
        <v>2</v>
      </c>
      <c r="G41" s="393">
        <v>1</v>
      </c>
      <c r="H41" s="393">
        <v>1</v>
      </c>
      <c r="I41" s="393"/>
      <c r="J41" s="393"/>
      <c r="K41" s="393">
        <v>2</v>
      </c>
      <c r="L41" s="393">
        <v>4</v>
      </c>
      <c r="M41" s="393">
        <v>2</v>
      </c>
      <c r="N41" s="393"/>
      <c r="O41" s="393">
        <v>3</v>
      </c>
      <c r="P41" s="376"/>
      <c r="Q41" s="493"/>
      <c r="R41" s="493">
        <v>1</v>
      </c>
      <c r="S41" s="498"/>
      <c r="T41" s="498">
        <v>1</v>
      </c>
      <c r="U41" s="498">
        <v>1</v>
      </c>
      <c r="V41" s="498">
        <v>1</v>
      </c>
      <c r="W41" s="498">
        <v>1</v>
      </c>
      <c r="X41" s="498">
        <v>4</v>
      </c>
      <c r="Y41" s="498">
        <v>3</v>
      </c>
      <c r="Z41" s="498"/>
      <c r="AA41" s="376"/>
      <c r="AB41" s="385">
        <v>8</v>
      </c>
      <c r="AC41" s="405"/>
      <c r="AD41" s="414">
        <v>5</v>
      </c>
      <c r="AE41" s="414">
        <v>3</v>
      </c>
      <c r="AF41" s="414">
        <v>4</v>
      </c>
      <c r="AG41" s="414">
        <v>5</v>
      </c>
      <c r="AH41" s="414">
        <v>4</v>
      </c>
      <c r="AI41" s="502">
        <v>32</v>
      </c>
      <c r="AJ41" s="408"/>
    </row>
    <row r="42" spans="1:36" ht="15.9" customHeight="1" x14ac:dyDescent="0.3">
      <c r="A42" s="335">
        <v>22</v>
      </c>
      <c r="B42" s="381">
        <v>1122</v>
      </c>
      <c r="C42" s="378" t="s">
        <v>619</v>
      </c>
      <c r="D42" s="519" t="s">
        <v>412</v>
      </c>
      <c r="E42" s="520"/>
      <c r="F42" s="516">
        <v>2</v>
      </c>
      <c r="G42" s="393">
        <v>2</v>
      </c>
      <c r="H42" s="393">
        <v>2</v>
      </c>
      <c r="I42" s="393">
        <v>2</v>
      </c>
      <c r="J42" s="393"/>
      <c r="K42" s="393">
        <v>1</v>
      </c>
      <c r="L42" s="393">
        <v>1</v>
      </c>
      <c r="M42" s="393">
        <v>3</v>
      </c>
      <c r="N42" s="393">
        <v>4</v>
      </c>
      <c r="O42" s="393">
        <v>4</v>
      </c>
      <c r="P42" s="376"/>
      <c r="Q42" s="493">
        <v>0</v>
      </c>
      <c r="R42" s="493"/>
      <c r="S42" s="498"/>
      <c r="T42" s="498">
        <v>0</v>
      </c>
      <c r="U42" s="498">
        <v>1</v>
      </c>
      <c r="V42" s="498">
        <v>2</v>
      </c>
      <c r="W42" s="498"/>
      <c r="X42" s="498">
        <v>2</v>
      </c>
      <c r="Y42" s="498">
        <v>1</v>
      </c>
      <c r="Z42" s="498"/>
      <c r="AA42" s="376"/>
      <c r="AB42" s="385">
        <v>10</v>
      </c>
      <c r="AC42" s="405"/>
      <c r="AD42" s="414">
        <v>3</v>
      </c>
      <c r="AE42" s="414">
        <v>3</v>
      </c>
      <c r="AF42" s="414">
        <v>5</v>
      </c>
      <c r="AG42" s="414">
        <v>4</v>
      </c>
      <c r="AH42" s="414">
        <v>5</v>
      </c>
      <c r="AI42" s="502">
        <v>69</v>
      </c>
      <c r="AJ42" s="405"/>
    </row>
    <row r="43" spans="1:36" ht="15.9" customHeight="1" x14ac:dyDescent="0.3">
      <c r="A43" s="335">
        <v>23</v>
      </c>
      <c r="B43" s="381">
        <v>1123</v>
      </c>
      <c r="C43" s="378" t="s">
        <v>620</v>
      </c>
      <c r="D43" s="519" t="s">
        <v>413</v>
      </c>
      <c r="E43" s="520"/>
      <c r="F43" s="509">
        <v>2</v>
      </c>
      <c r="G43" s="393">
        <v>2</v>
      </c>
      <c r="H43" s="393"/>
      <c r="I43" s="393">
        <v>2</v>
      </c>
      <c r="J43" s="393">
        <v>1</v>
      </c>
      <c r="K43" s="393">
        <v>1</v>
      </c>
      <c r="L43" s="393">
        <v>4</v>
      </c>
      <c r="M43" s="393">
        <v>1</v>
      </c>
      <c r="N43" s="393">
        <v>2</v>
      </c>
      <c r="O43" s="393">
        <v>1</v>
      </c>
      <c r="P43" s="376"/>
      <c r="Q43" s="493">
        <v>2</v>
      </c>
      <c r="R43" s="493">
        <v>1</v>
      </c>
      <c r="S43" s="498">
        <v>2</v>
      </c>
      <c r="T43" s="498">
        <v>2</v>
      </c>
      <c r="U43" s="498">
        <v>2</v>
      </c>
      <c r="V43" s="498">
        <v>2</v>
      </c>
      <c r="W43" s="498">
        <v>4</v>
      </c>
      <c r="X43" s="498">
        <v>4</v>
      </c>
      <c r="Y43" s="498">
        <v>4</v>
      </c>
      <c r="Z43" s="498"/>
      <c r="AA43" s="376"/>
      <c r="AB43" s="385">
        <v>7</v>
      </c>
      <c r="AC43" s="405"/>
      <c r="AD43" s="414">
        <v>5</v>
      </c>
      <c r="AE43" s="414">
        <v>5</v>
      </c>
      <c r="AF43" s="414">
        <v>5</v>
      </c>
      <c r="AG43" s="414">
        <v>5</v>
      </c>
      <c r="AH43" s="414">
        <v>5</v>
      </c>
      <c r="AI43" s="502">
        <v>28</v>
      </c>
      <c r="AJ43" s="405"/>
    </row>
    <row r="44" spans="1:36" ht="15.9" customHeight="1" x14ac:dyDescent="0.3">
      <c r="A44" s="335">
        <v>24</v>
      </c>
      <c r="B44" s="381">
        <v>1124</v>
      </c>
      <c r="C44" s="378" t="s">
        <v>621</v>
      </c>
      <c r="D44" s="519" t="s">
        <v>414</v>
      </c>
      <c r="E44" s="520"/>
      <c r="F44" s="509">
        <v>1</v>
      </c>
      <c r="G44" s="393">
        <v>2</v>
      </c>
      <c r="H44" s="393"/>
      <c r="I44" s="393">
        <v>2</v>
      </c>
      <c r="J44" s="393">
        <v>2</v>
      </c>
      <c r="K44" s="393"/>
      <c r="L44" s="393"/>
      <c r="M44" s="393"/>
      <c r="N44" s="393"/>
      <c r="O44" s="393">
        <v>2</v>
      </c>
      <c r="P44" s="376"/>
      <c r="Q44" s="493">
        <v>0</v>
      </c>
      <c r="R44" s="493"/>
      <c r="S44" s="498">
        <v>0</v>
      </c>
      <c r="T44" s="498"/>
      <c r="U44" s="498">
        <v>0</v>
      </c>
      <c r="V44" s="498"/>
      <c r="W44" s="498"/>
      <c r="X44" s="498"/>
      <c r="Y44" s="498"/>
      <c r="Z44" s="498">
        <v>1</v>
      </c>
      <c r="AA44" s="376"/>
      <c r="AB44" s="385">
        <v>7</v>
      </c>
      <c r="AC44" s="405"/>
      <c r="AD44" s="414">
        <v>3</v>
      </c>
      <c r="AE44" s="414">
        <v>3</v>
      </c>
      <c r="AF44" s="414">
        <v>3</v>
      </c>
      <c r="AG44" s="414">
        <v>2</v>
      </c>
      <c r="AH44" s="414">
        <v>3</v>
      </c>
      <c r="AI44" s="502">
        <v>17</v>
      </c>
      <c r="AJ44" s="405"/>
    </row>
    <row r="45" spans="1:36" ht="15.9" customHeight="1" x14ac:dyDescent="0.3">
      <c r="A45" s="335">
        <v>25</v>
      </c>
      <c r="B45" s="381">
        <v>1125</v>
      </c>
      <c r="C45" s="378" t="s">
        <v>622</v>
      </c>
      <c r="D45" s="519" t="s">
        <v>415</v>
      </c>
      <c r="E45" s="520"/>
      <c r="F45" s="509">
        <v>2</v>
      </c>
      <c r="G45" s="393">
        <v>2</v>
      </c>
      <c r="H45" s="393">
        <v>2</v>
      </c>
      <c r="I45" s="393">
        <v>2</v>
      </c>
      <c r="J45" s="393">
        <v>2</v>
      </c>
      <c r="K45" s="393">
        <v>1</v>
      </c>
      <c r="L45" s="393">
        <v>4</v>
      </c>
      <c r="M45" s="393">
        <v>4</v>
      </c>
      <c r="N45" s="393">
        <v>3</v>
      </c>
      <c r="O45" s="393">
        <v>4</v>
      </c>
      <c r="P45" s="376"/>
      <c r="Q45" s="493">
        <v>2</v>
      </c>
      <c r="R45" s="493">
        <v>2</v>
      </c>
      <c r="S45" s="498">
        <v>2</v>
      </c>
      <c r="T45" s="498"/>
      <c r="U45" s="498">
        <v>2</v>
      </c>
      <c r="V45" s="498">
        <v>2</v>
      </c>
      <c r="W45" s="498">
        <v>4</v>
      </c>
      <c r="X45" s="498">
        <v>2</v>
      </c>
      <c r="Y45" s="498">
        <v>4</v>
      </c>
      <c r="Z45" s="498">
        <v>1</v>
      </c>
      <c r="AA45" s="376"/>
      <c r="AB45" s="385">
        <v>9</v>
      </c>
      <c r="AC45" s="405"/>
      <c r="AD45" s="414">
        <v>5</v>
      </c>
      <c r="AE45" s="414">
        <v>4</v>
      </c>
      <c r="AF45" s="414">
        <v>5</v>
      </c>
      <c r="AG45" s="414">
        <v>4</v>
      </c>
      <c r="AH45" s="414">
        <v>4</v>
      </c>
      <c r="AI45" s="502">
        <v>74</v>
      </c>
      <c r="AJ45" s="405"/>
    </row>
    <row r="46" spans="1:36" ht="15.9" customHeight="1" x14ac:dyDescent="0.3">
      <c r="A46" s="335">
        <v>26</v>
      </c>
      <c r="B46" s="381">
        <v>1126</v>
      </c>
      <c r="C46" s="378" t="s">
        <v>623</v>
      </c>
      <c r="D46" s="519" t="s">
        <v>416</v>
      </c>
      <c r="E46" s="520"/>
      <c r="F46" s="509">
        <v>2</v>
      </c>
      <c r="G46" s="393">
        <v>2</v>
      </c>
      <c r="H46" s="393"/>
      <c r="I46" s="393"/>
      <c r="J46" s="393">
        <v>1</v>
      </c>
      <c r="K46" s="393">
        <v>1</v>
      </c>
      <c r="L46" s="393">
        <v>4</v>
      </c>
      <c r="M46" s="393">
        <v>3</v>
      </c>
      <c r="N46" s="393">
        <v>3</v>
      </c>
      <c r="O46"/>
      <c r="P46" s="376"/>
      <c r="Q46" s="493">
        <v>1</v>
      </c>
      <c r="R46" s="493"/>
      <c r="S46" s="493">
        <v>0</v>
      </c>
      <c r="T46" s="498">
        <v>0</v>
      </c>
      <c r="U46" s="498">
        <v>0</v>
      </c>
      <c r="V46" s="498"/>
      <c r="W46" s="498"/>
      <c r="X46" s="498">
        <v>0</v>
      </c>
      <c r="Y46" s="498"/>
      <c r="Z46" s="498"/>
      <c r="AA46" s="376"/>
      <c r="AB46" s="385">
        <v>7</v>
      </c>
      <c r="AC46" s="405"/>
      <c r="AD46" s="414">
        <v>4</v>
      </c>
      <c r="AE46" s="414">
        <v>3</v>
      </c>
      <c r="AF46" s="414">
        <v>5</v>
      </c>
      <c r="AG46" s="414">
        <v>4</v>
      </c>
      <c r="AH46" s="414">
        <v>5</v>
      </c>
      <c r="AI46" s="502">
        <v>31</v>
      </c>
      <c r="AJ46" s="405"/>
    </row>
    <row r="47" spans="1:36" ht="15.9" customHeight="1" x14ac:dyDescent="0.3">
      <c r="A47" s="335">
        <v>27</v>
      </c>
      <c r="B47" s="381">
        <v>1127</v>
      </c>
      <c r="C47" s="378" t="s">
        <v>624</v>
      </c>
      <c r="D47" s="519" t="s">
        <v>417</v>
      </c>
      <c r="E47" s="520"/>
      <c r="F47" s="509">
        <v>2</v>
      </c>
      <c r="G47" s="393">
        <v>2</v>
      </c>
      <c r="H47" s="393"/>
      <c r="I47" s="393"/>
      <c r="J47" s="393">
        <v>2</v>
      </c>
      <c r="K47" s="393">
        <v>0</v>
      </c>
      <c r="L47" s="393">
        <v>4</v>
      </c>
      <c r="M47" s="393"/>
      <c r="N47" s="393">
        <v>4</v>
      </c>
      <c r="O47" s="393"/>
      <c r="P47" s="376"/>
      <c r="Q47" s="493"/>
      <c r="R47" s="493">
        <v>1</v>
      </c>
      <c r="S47" s="498"/>
      <c r="T47" s="498"/>
      <c r="U47" s="498"/>
      <c r="V47" s="498"/>
      <c r="W47" s="498"/>
      <c r="X47" s="498">
        <v>2</v>
      </c>
      <c r="Y47" s="498"/>
      <c r="Z47" s="498"/>
      <c r="AA47" s="376"/>
      <c r="AB47" s="385">
        <v>7</v>
      </c>
      <c r="AC47" s="405"/>
      <c r="AD47" s="414">
        <v>5</v>
      </c>
      <c r="AE47" s="414">
        <v>4</v>
      </c>
      <c r="AF47" s="414">
        <v>5</v>
      </c>
      <c r="AG47" s="414">
        <v>4</v>
      </c>
      <c r="AH47" s="414">
        <v>5</v>
      </c>
      <c r="AI47" s="502">
        <v>25</v>
      </c>
      <c r="AJ47" s="405"/>
    </row>
    <row r="48" spans="1:36" ht="15.9" customHeight="1" x14ac:dyDescent="0.3">
      <c r="A48" s="335">
        <v>28</v>
      </c>
      <c r="B48" s="381">
        <v>1128</v>
      </c>
      <c r="C48" s="378" t="s">
        <v>625</v>
      </c>
      <c r="D48" s="519" t="s">
        <v>418</v>
      </c>
      <c r="E48" s="520"/>
      <c r="F48" s="509">
        <v>2</v>
      </c>
      <c r="G48" s="393">
        <v>2</v>
      </c>
      <c r="H48" s="393">
        <v>1</v>
      </c>
      <c r="I48" s="393"/>
      <c r="J48" s="393">
        <v>2</v>
      </c>
      <c r="K48" s="393">
        <v>1</v>
      </c>
      <c r="L48" s="393"/>
      <c r="M48" s="393">
        <v>1</v>
      </c>
      <c r="N48" s="393">
        <v>4</v>
      </c>
      <c r="O48" s="393"/>
      <c r="P48" s="376"/>
      <c r="Q48" s="493">
        <v>2</v>
      </c>
      <c r="R48" s="493">
        <v>1</v>
      </c>
      <c r="S48" s="498">
        <v>2</v>
      </c>
      <c r="T48" s="498"/>
      <c r="U48" s="498">
        <v>1</v>
      </c>
      <c r="V48" s="498">
        <v>2</v>
      </c>
      <c r="W48" s="498">
        <v>4</v>
      </c>
      <c r="X48" s="498">
        <v>2</v>
      </c>
      <c r="Y48" s="498">
        <v>0</v>
      </c>
      <c r="Z48" s="498"/>
      <c r="AA48" s="376"/>
      <c r="AB48" s="385">
        <v>7</v>
      </c>
      <c r="AC48" s="405"/>
      <c r="AD48" s="414">
        <v>5</v>
      </c>
      <c r="AE48" s="414">
        <v>5</v>
      </c>
      <c r="AF48" s="414">
        <v>5</v>
      </c>
      <c r="AG48" s="414">
        <v>5</v>
      </c>
      <c r="AH48" s="414">
        <v>5</v>
      </c>
      <c r="AI48" s="502">
        <v>34</v>
      </c>
      <c r="AJ48" s="405"/>
    </row>
    <row r="49" spans="1:36" ht="15.9" customHeight="1" x14ac:dyDescent="0.3">
      <c r="A49" s="335">
        <v>29</v>
      </c>
      <c r="B49" s="381">
        <v>1129</v>
      </c>
      <c r="C49" s="378" t="s">
        <v>626</v>
      </c>
      <c r="D49" s="519" t="s">
        <v>419</v>
      </c>
      <c r="E49" s="520"/>
      <c r="F49" s="509">
        <v>2</v>
      </c>
      <c r="G49" s="393">
        <v>2</v>
      </c>
      <c r="H49" s="393"/>
      <c r="I49" s="393"/>
      <c r="J49" s="393">
        <v>0</v>
      </c>
      <c r="K49" s="393">
        <v>0</v>
      </c>
      <c r="L49" s="393">
        <v>0</v>
      </c>
      <c r="M49" s="393">
        <v>1</v>
      </c>
      <c r="N49" s="393"/>
      <c r="O49" s="393"/>
      <c r="P49" s="376"/>
      <c r="Q49" s="493"/>
      <c r="R49" s="493">
        <v>0</v>
      </c>
      <c r="S49" s="498">
        <v>0</v>
      </c>
      <c r="T49" s="498"/>
      <c r="U49" s="498">
        <v>0</v>
      </c>
      <c r="V49" s="498">
        <v>2</v>
      </c>
      <c r="W49" s="498"/>
      <c r="X49" s="498">
        <v>1</v>
      </c>
      <c r="Y49" s="498"/>
      <c r="Z49" s="498"/>
      <c r="AA49" s="376"/>
      <c r="AB49" s="385">
        <v>8</v>
      </c>
      <c r="AC49" s="405"/>
      <c r="AD49" s="414">
        <v>2</v>
      </c>
      <c r="AE49" s="414">
        <v>3</v>
      </c>
      <c r="AF49" s="414">
        <v>2</v>
      </c>
      <c r="AG49" s="414">
        <v>3</v>
      </c>
      <c r="AH49" s="414">
        <v>3</v>
      </c>
      <c r="AI49" s="502">
        <v>23</v>
      </c>
      <c r="AJ49" s="405"/>
    </row>
    <row r="50" spans="1:36" ht="15.9" customHeight="1" x14ac:dyDescent="0.3">
      <c r="A50" s="335">
        <v>30</v>
      </c>
      <c r="B50" s="381">
        <v>1130</v>
      </c>
      <c r="C50" s="378" t="s">
        <v>627</v>
      </c>
      <c r="D50" s="519" t="s">
        <v>420</v>
      </c>
      <c r="E50" s="520"/>
      <c r="F50" s="517">
        <v>2</v>
      </c>
      <c r="G50" s="393">
        <v>2</v>
      </c>
      <c r="H50" s="393"/>
      <c r="I50" s="393"/>
      <c r="J50" s="393"/>
      <c r="K50" s="393">
        <v>1</v>
      </c>
      <c r="L50" s="393"/>
      <c r="M50" s="393">
        <v>1</v>
      </c>
      <c r="N50" s="393"/>
      <c r="O50" s="393"/>
      <c r="P50" s="376"/>
      <c r="Q50" s="493">
        <v>0</v>
      </c>
      <c r="R50" s="493">
        <v>0</v>
      </c>
      <c r="S50" s="498">
        <v>0</v>
      </c>
      <c r="T50" s="498">
        <v>0</v>
      </c>
      <c r="U50" s="498"/>
      <c r="V50" s="498"/>
      <c r="W50" s="498"/>
      <c r="X50" s="498">
        <v>0</v>
      </c>
      <c r="Y50" s="498">
        <v>0</v>
      </c>
      <c r="Z50" s="498"/>
      <c r="AA50" s="376"/>
      <c r="AB50" s="385">
        <v>9</v>
      </c>
      <c r="AC50" s="405"/>
      <c r="AD50" s="414">
        <v>5</v>
      </c>
      <c r="AE50" s="414">
        <v>5</v>
      </c>
      <c r="AF50" s="414">
        <v>4</v>
      </c>
      <c r="AG50" s="414">
        <v>5</v>
      </c>
      <c r="AH50" s="414">
        <v>5</v>
      </c>
      <c r="AI50" s="502">
        <v>21</v>
      </c>
      <c r="AJ50" s="405"/>
    </row>
    <row r="51" spans="1:36" ht="15.9" customHeight="1" x14ac:dyDescent="0.3">
      <c r="A51" s="335">
        <v>31</v>
      </c>
      <c r="B51" s="381">
        <v>1131</v>
      </c>
      <c r="C51" s="378" t="s">
        <v>628</v>
      </c>
      <c r="D51" s="519" t="s">
        <v>421</v>
      </c>
      <c r="E51" s="520"/>
      <c r="F51" s="509">
        <v>1</v>
      </c>
      <c r="G51" s="393"/>
      <c r="H51" s="393">
        <v>1</v>
      </c>
      <c r="I51" s="393">
        <v>2</v>
      </c>
      <c r="J51" s="393">
        <v>0</v>
      </c>
      <c r="K51" s="393"/>
      <c r="L51" s="393">
        <v>0</v>
      </c>
      <c r="M51" s="393">
        <v>1</v>
      </c>
      <c r="N51" s="393"/>
      <c r="O51" s="393">
        <v>0</v>
      </c>
      <c r="P51" s="376"/>
      <c r="Q51" s="493">
        <v>0</v>
      </c>
      <c r="R51" s="493"/>
      <c r="S51" s="498"/>
      <c r="T51" s="498">
        <v>0</v>
      </c>
      <c r="U51" s="498">
        <v>0</v>
      </c>
      <c r="V51" s="498">
        <v>1</v>
      </c>
      <c r="W51" s="498">
        <v>0</v>
      </c>
      <c r="X51" s="498">
        <v>0</v>
      </c>
      <c r="Y51" s="498">
        <v>0</v>
      </c>
      <c r="Z51" s="498"/>
      <c r="AA51" s="376"/>
      <c r="AB51" s="385">
        <v>9</v>
      </c>
      <c r="AC51" s="405"/>
      <c r="AD51" s="414">
        <v>5</v>
      </c>
      <c r="AE51" s="414">
        <v>4</v>
      </c>
      <c r="AF51" s="414">
        <v>5</v>
      </c>
      <c r="AG51" s="414">
        <v>5</v>
      </c>
      <c r="AH51" s="414">
        <v>4</v>
      </c>
      <c r="AI51" s="502">
        <v>15</v>
      </c>
      <c r="AJ51" s="405"/>
    </row>
    <row r="52" spans="1:36" ht="15.9" customHeight="1" x14ac:dyDescent="0.3">
      <c r="A52" s="335">
        <v>32</v>
      </c>
      <c r="B52" s="381">
        <v>1132</v>
      </c>
      <c r="C52" s="378" t="s">
        <v>629</v>
      </c>
      <c r="D52" s="519" t="s">
        <v>422</v>
      </c>
      <c r="E52" s="520"/>
      <c r="F52" s="509">
        <v>1</v>
      </c>
      <c r="G52" s="393">
        <v>2</v>
      </c>
      <c r="H52" s="393"/>
      <c r="I52" s="410">
        <v>2</v>
      </c>
      <c r="J52" s="410"/>
      <c r="K52" s="410">
        <v>0</v>
      </c>
      <c r="L52" s="418">
        <v>0</v>
      </c>
      <c r="M52" s="393"/>
      <c r="N52" s="410"/>
      <c r="O52" s="393"/>
      <c r="P52" s="376"/>
      <c r="Q52" s="493"/>
      <c r="R52" s="493">
        <v>0</v>
      </c>
      <c r="S52" s="498"/>
      <c r="T52" s="498"/>
      <c r="U52" s="498"/>
      <c r="V52" s="498"/>
      <c r="W52" s="498"/>
      <c r="X52" s="498"/>
      <c r="Y52" s="498"/>
      <c r="Z52" s="498"/>
      <c r="AA52" s="376"/>
      <c r="AB52" s="385">
        <v>9</v>
      </c>
      <c r="AC52" s="405"/>
      <c r="AD52" s="414">
        <v>4</v>
      </c>
      <c r="AE52" s="414">
        <v>5</v>
      </c>
      <c r="AF52" s="414">
        <v>4</v>
      </c>
      <c r="AG52" s="414">
        <v>3</v>
      </c>
      <c r="AH52" s="414">
        <v>5</v>
      </c>
      <c r="AI52" s="502">
        <v>19</v>
      </c>
      <c r="AJ52" s="405"/>
    </row>
    <row r="53" spans="1:36" ht="15.9" customHeight="1" x14ac:dyDescent="0.3">
      <c r="A53" s="335">
        <v>33</v>
      </c>
      <c r="B53" s="381">
        <v>1133</v>
      </c>
      <c r="C53" s="378" t="s">
        <v>630</v>
      </c>
      <c r="D53" s="519" t="s">
        <v>423</v>
      </c>
      <c r="E53" s="520"/>
      <c r="F53" s="509">
        <v>2</v>
      </c>
      <c r="G53" s="393">
        <v>2</v>
      </c>
      <c r="H53" s="393">
        <v>2</v>
      </c>
      <c r="I53" s="393">
        <v>2</v>
      </c>
      <c r="J53" s="393">
        <v>2</v>
      </c>
      <c r="K53" s="393">
        <v>1</v>
      </c>
      <c r="L53" s="393">
        <v>2</v>
      </c>
      <c r="M53" s="393">
        <v>1</v>
      </c>
      <c r="N53" s="393">
        <v>2</v>
      </c>
      <c r="O53" s="393">
        <v>1</v>
      </c>
      <c r="P53" s="376"/>
      <c r="Q53" s="493">
        <v>2</v>
      </c>
      <c r="R53" s="493">
        <v>0</v>
      </c>
      <c r="S53" s="498"/>
      <c r="T53" s="498">
        <v>0</v>
      </c>
      <c r="U53" s="498"/>
      <c r="V53" s="498">
        <v>1</v>
      </c>
      <c r="W53" s="498">
        <v>0</v>
      </c>
      <c r="X53" s="498"/>
      <c r="Y53" s="498">
        <v>4</v>
      </c>
      <c r="Z53" s="498">
        <v>0</v>
      </c>
      <c r="AA53" s="376"/>
      <c r="AB53" s="385">
        <v>8</v>
      </c>
      <c r="AC53" s="405"/>
      <c r="AD53" s="414">
        <v>3</v>
      </c>
      <c r="AE53" s="414">
        <v>2</v>
      </c>
      <c r="AF53" s="414">
        <v>3</v>
      </c>
      <c r="AG53" s="414">
        <v>3</v>
      </c>
      <c r="AH53" s="414">
        <v>3</v>
      </c>
      <c r="AI53" s="502">
        <v>39</v>
      </c>
      <c r="AJ53" s="405"/>
    </row>
    <row r="54" spans="1:36" ht="15.9" customHeight="1" x14ac:dyDescent="0.3">
      <c r="A54" s="335">
        <v>34</v>
      </c>
      <c r="B54" s="381">
        <v>1134</v>
      </c>
      <c r="C54" s="378" t="s">
        <v>631</v>
      </c>
      <c r="D54" s="519" t="s">
        <v>424</v>
      </c>
      <c r="E54" s="520"/>
      <c r="F54" s="509">
        <v>2</v>
      </c>
      <c r="G54" s="393">
        <v>2</v>
      </c>
      <c r="H54" s="393">
        <v>2</v>
      </c>
      <c r="I54" s="393">
        <v>2</v>
      </c>
      <c r="J54" s="393"/>
      <c r="K54" s="393"/>
      <c r="L54" s="393"/>
      <c r="M54" s="393">
        <v>4</v>
      </c>
      <c r="N54" s="393">
        <v>4</v>
      </c>
      <c r="O54" s="393">
        <v>4</v>
      </c>
      <c r="P54" s="376"/>
      <c r="Q54" s="493">
        <v>2</v>
      </c>
      <c r="R54" s="493"/>
      <c r="S54" s="498">
        <v>1</v>
      </c>
      <c r="T54" s="498">
        <v>2</v>
      </c>
      <c r="U54" s="498">
        <v>1</v>
      </c>
      <c r="V54" s="498">
        <v>2</v>
      </c>
      <c r="W54" s="498">
        <v>4</v>
      </c>
      <c r="X54" s="498"/>
      <c r="Y54" s="498">
        <v>4</v>
      </c>
      <c r="Z54" s="498"/>
      <c r="AA54" s="376"/>
      <c r="AB54" s="385">
        <v>9</v>
      </c>
      <c r="AC54" s="405"/>
      <c r="AD54" s="414">
        <v>4</v>
      </c>
      <c r="AE54" s="414">
        <v>4</v>
      </c>
      <c r="AF54" s="414">
        <v>5</v>
      </c>
      <c r="AG54" s="414">
        <v>5</v>
      </c>
      <c r="AH54" s="414">
        <v>5</v>
      </c>
      <c r="AI54" s="502">
        <v>57</v>
      </c>
      <c r="AJ54" s="405"/>
    </row>
    <row r="55" spans="1:36" ht="15.9" customHeight="1" x14ac:dyDescent="0.3">
      <c r="A55" s="335">
        <v>35</v>
      </c>
      <c r="B55" s="381">
        <v>1135</v>
      </c>
      <c r="C55" s="378" t="s">
        <v>632</v>
      </c>
      <c r="D55" s="519" t="s">
        <v>425</v>
      </c>
      <c r="E55" s="520"/>
      <c r="F55" s="509">
        <v>1</v>
      </c>
      <c r="G55" s="393">
        <v>0</v>
      </c>
      <c r="H55" s="393"/>
      <c r="I55" s="393">
        <v>0</v>
      </c>
      <c r="J55" s="393"/>
      <c r="K55" s="393">
        <v>2</v>
      </c>
      <c r="L55" s="393"/>
      <c r="M55" s="393">
        <v>2</v>
      </c>
      <c r="N55" s="393"/>
      <c r="O55" s="393"/>
      <c r="P55" s="376"/>
      <c r="Q55" s="493">
        <v>0</v>
      </c>
      <c r="R55" s="493"/>
      <c r="S55" s="498">
        <v>1</v>
      </c>
      <c r="T55" s="498"/>
      <c r="U55" s="498"/>
      <c r="V55" s="498">
        <v>0</v>
      </c>
      <c r="W55" s="498">
        <v>0</v>
      </c>
      <c r="X55" s="498"/>
      <c r="Y55" s="498">
        <v>0</v>
      </c>
      <c r="Z55" s="498">
        <v>0</v>
      </c>
      <c r="AA55" s="376"/>
      <c r="AB55" s="385">
        <v>9</v>
      </c>
      <c r="AC55" s="405"/>
      <c r="AD55" s="414">
        <v>4</v>
      </c>
      <c r="AE55" s="414">
        <v>3</v>
      </c>
      <c r="AF55" s="414">
        <v>4</v>
      </c>
      <c r="AG55" s="414">
        <v>4</v>
      </c>
      <c r="AH55" s="414">
        <v>4</v>
      </c>
      <c r="AI55" s="502">
        <v>20</v>
      </c>
      <c r="AJ55" s="405"/>
    </row>
    <row r="56" spans="1:36" ht="15.9" customHeight="1" x14ac:dyDescent="0.3">
      <c r="A56" s="335">
        <v>36</v>
      </c>
      <c r="B56" s="381">
        <v>1136</v>
      </c>
      <c r="C56" s="378" t="s">
        <v>633</v>
      </c>
      <c r="D56" s="519" t="s">
        <v>426</v>
      </c>
      <c r="E56" s="385"/>
      <c r="F56" s="509">
        <v>2</v>
      </c>
      <c r="G56" s="393">
        <v>2</v>
      </c>
      <c r="H56" s="393"/>
      <c r="I56" s="393">
        <v>1</v>
      </c>
      <c r="J56" s="393">
        <v>2</v>
      </c>
      <c r="K56" s="393">
        <v>2</v>
      </c>
      <c r="L56" s="393">
        <v>2</v>
      </c>
      <c r="M56" s="393">
        <v>2</v>
      </c>
      <c r="N56" s="393">
        <v>3</v>
      </c>
      <c r="O56" s="393">
        <v>4</v>
      </c>
      <c r="P56" s="376"/>
      <c r="Q56" s="493">
        <v>2</v>
      </c>
      <c r="R56" s="493">
        <v>2</v>
      </c>
      <c r="S56" s="498"/>
      <c r="T56" s="498">
        <v>2</v>
      </c>
      <c r="U56" s="498">
        <v>2</v>
      </c>
      <c r="V56" s="498">
        <v>2</v>
      </c>
      <c r="W56" s="498">
        <v>4</v>
      </c>
      <c r="X56" s="498">
        <v>4</v>
      </c>
      <c r="Y56" s="498">
        <v>4</v>
      </c>
      <c r="Z56" s="498">
        <v>4</v>
      </c>
      <c r="AA56" s="376"/>
      <c r="AB56" s="385">
        <v>9</v>
      </c>
      <c r="AC56" s="407"/>
      <c r="AD56" s="414">
        <v>3</v>
      </c>
      <c r="AE56" s="414">
        <v>3</v>
      </c>
      <c r="AF56" s="414">
        <v>5</v>
      </c>
      <c r="AG56" s="414">
        <v>4</v>
      </c>
      <c r="AH56" s="414">
        <v>5</v>
      </c>
      <c r="AI56" s="502">
        <v>65</v>
      </c>
      <c r="AJ56" s="407"/>
    </row>
    <row r="57" spans="1:36" ht="15.9" customHeight="1" x14ac:dyDescent="0.3">
      <c r="A57" s="335">
        <v>37</v>
      </c>
      <c r="B57" s="381">
        <v>1137</v>
      </c>
      <c r="C57" s="378" t="s">
        <v>634</v>
      </c>
      <c r="D57" s="519" t="s">
        <v>427</v>
      </c>
      <c r="E57" s="385"/>
      <c r="F57" s="509">
        <v>2</v>
      </c>
      <c r="G57" s="393">
        <v>2</v>
      </c>
      <c r="H57" s="393">
        <v>1</v>
      </c>
      <c r="I57" s="393">
        <v>1</v>
      </c>
      <c r="J57" s="393"/>
      <c r="K57" s="393"/>
      <c r="L57" s="393">
        <v>4</v>
      </c>
      <c r="M57" s="393"/>
      <c r="N57" s="393">
        <v>2</v>
      </c>
      <c r="O57" s="393">
        <v>3</v>
      </c>
      <c r="P57" s="376"/>
      <c r="Q57" s="493">
        <v>2</v>
      </c>
      <c r="R57" s="493"/>
      <c r="S57" s="498">
        <v>2</v>
      </c>
      <c r="T57" s="498">
        <v>2</v>
      </c>
      <c r="U57" s="498">
        <v>2</v>
      </c>
      <c r="V57" s="498"/>
      <c r="W57" s="498">
        <v>1</v>
      </c>
      <c r="X57" s="498">
        <v>4</v>
      </c>
      <c r="Y57" s="498">
        <v>1</v>
      </c>
      <c r="Z57" s="498"/>
      <c r="AA57" s="376"/>
      <c r="AB57" s="385">
        <v>8</v>
      </c>
      <c r="AC57" s="405"/>
      <c r="AD57" s="414">
        <v>3</v>
      </c>
      <c r="AE57" s="414">
        <v>1</v>
      </c>
      <c r="AF57" s="414">
        <v>4</v>
      </c>
      <c r="AG57" s="414">
        <v>3</v>
      </c>
      <c r="AH57" s="414">
        <v>5</v>
      </c>
      <c r="AI57" s="502">
        <v>43</v>
      </c>
      <c r="AJ57" s="405"/>
    </row>
    <row r="58" spans="1:36" ht="15.9" customHeight="1" x14ac:dyDescent="0.3">
      <c r="A58" s="335">
        <v>38</v>
      </c>
      <c r="B58" s="381">
        <v>1138</v>
      </c>
      <c r="C58" s="378" t="s">
        <v>635</v>
      </c>
      <c r="D58" s="519" t="s">
        <v>428</v>
      </c>
      <c r="E58" s="385"/>
      <c r="F58" s="509">
        <v>1</v>
      </c>
      <c r="G58" s="393">
        <v>2</v>
      </c>
      <c r="H58" s="393">
        <v>2</v>
      </c>
      <c r="I58" s="393">
        <v>2</v>
      </c>
      <c r="J58" s="393">
        <v>2</v>
      </c>
      <c r="K58" s="393">
        <v>2</v>
      </c>
      <c r="L58" s="393">
        <v>4</v>
      </c>
      <c r="M58" s="393">
        <v>1</v>
      </c>
      <c r="N58" s="393">
        <v>4</v>
      </c>
      <c r="O58" s="393">
        <v>4</v>
      </c>
      <c r="P58" s="376"/>
      <c r="Q58" s="493">
        <v>2</v>
      </c>
      <c r="R58" s="493">
        <v>2</v>
      </c>
      <c r="S58" s="498">
        <v>2</v>
      </c>
      <c r="T58" s="498">
        <v>2</v>
      </c>
      <c r="U58" s="498">
        <v>2</v>
      </c>
      <c r="V58" s="498">
        <v>2</v>
      </c>
      <c r="W58" s="498">
        <v>4</v>
      </c>
      <c r="X58" s="498">
        <v>4</v>
      </c>
      <c r="Y58" s="498">
        <v>3</v>
      </c>
      <c r="Z58" s="498">
        <v>4</v>
      </c>
      <c r="AA58" s="392"/>
      <c r="AB58" s="419">
        <v>10</v>
      </c>
      <c r="AC58" s="405"/>
      <c r="AD58" s="414">
        <v>3</v>
      </c>
      <c r="AE58" s="414">
        <v>2</v>
      </c>
      <c r="AF58" s="414">
        <v>3</v>
      </c>
      <c r="AG58" s="414">
        <v>3</v>
      </c>
      <c r="AH58" s="414">
        <v>3</v>
      </c>
      <c r="AI58" s="502">
        <v>48</v>
      </c>
      <c r="AJ58" s="405"/>
    </row>
    <row r="59" spans="1:36" ht="15.9" customHeight="1" x14ac:dyDescent="0.3">
      <c r="A59" s="335">
        <v>39</v>
      </c>
      <c r="B59" s="381">
        <v>1139</v>
      </c>
      <c r="C59" s="378" t="s">
        <v>636</v>
      </c>
      <c r="D59" s="519" t="s">
        <v>429</v>
      </c>
      <c r="E59" s="385"/>
      <c r="F59" s="509">
        <v>0</v>
      </c>
      <c r="G59" s="393">
        <v>2</v>
      </c>
      <c r="H59" s="393"/>
      <c r="I59" s="393">
        <v>2</v>
      </c>
      <c r="J59" s="393">
        <v>2</v>
      </c>
      <c r="K59" s="393"/>
      <c r="L59" s="393">
        <v>4</v>
      </c>
      <c r="M59" s="393">
        <v>3</v>
      </c>
      <c r="N59" s="393">
        <v>3</v>
      </c>
      <c r="O59" s="393">
        <v>2</v>
      </c>
      <c r="P59" s="376"/>
      <c r="Q59" s="493">
        <v>2</v>
      </c>
      <c r="R59" s="493">
        <v>0</v>
      </c>
      <c r="S59" s="498"/>
      <c r="T59" s="498">
        <v>2</v>
      </c>
      <c r="U59" s="498">
        <v>2</v>
      </c>
      <c r="V59" s="498">
        <v>2</v>
      </c>
      <c r="W59" s="498">
        <v>4</v>
      </c>
      <c r="X59" s="498">
        <v>4</v>
      </c>
      <c r="Y59" s="498">
        <v>3</v>
      </c>
      <c r="Z59" s="498">
        <v>4</v>
      </c>
      <c r="AA59" s="392"/>
      <c r="AB59" s="419">
        <v>9</v>
      </c>
      <c r="AC59" s="405"/>
      <c r="AD59" s="414">
        <v>4</v>
      </c>
      <c r="AE59" s="414">
        <v>4</v>
      </c>
      <c r="AF59" s="414">
        <v>5</v>
      </c>
      <c r="AG59" s="414">
        <v>4</v>
      </c>
      <c r="AH59" s="414">
        <v>5</v>
      </c>
      <c r="AI59" s="502">
        <v>62</v>
      </c>
      <c r="AJ59" s="405"/>
    </row>
    <row r="60" spans="1:36" ht="15.9" customHeight="1" x14ac:dyDescent="0.3">
      <c r="A60" s="335">
        <v>40</v>
      </c>
      <c r="B60" s="381">
        <v>1140</v>
      </c>
      <c r="C60" s="378" t="s">
        <v>637</v>
      </c>
      <c r="D60" s="519" t="s">
        <v>430</v>
      </c>
      <c r="E60" s="385"/>
      <c r="F60" s="509">
        <v>2</v>
      </c>
      <c r="G60" s="393">
        <v>2</v>
      </c>
      <c r="H60" s="393"/>
      <c r="I60" s="393">
        <v>1</v>
      </c>
      <c r="J60" s="393"/>
      <c r="K60" s="393">
        <v>1</v>
      </c>
      <c r="L60" s="393">
        <v>4</v>
      </c>
      <c r="M60" s="418">
        <v>2</v>
      </c>
      <c r="N60" s="418">
        <v>2</v>
      </c>
      <c r="O60" s="418">
        <v>2</v>
      </c>
      <c r="P60" s="383"/>
      <c r="Q60" s="499">
        <v>2</v>
      </c>
      <c r="R60" s="493"/>
      <c r="S60" s="498">
        <v>2</v>
      </c>
      <c r="T60" s="498"/>
      <c r="U60" s="498">
        <v>1</v>
      </c>
      <c r="V60" s="498">
        <v>2</v>
      </c>
      <c r="W60" s="498">
        <v>4</v>
      </c>
      <c r="X60" s="498"/>
      <c r="Y60" s="498">
        <v>4</v>
      </c>
      <c r="Z60" s="498"/>
      <c r="AA60" s="376"/>
      <c r="AB60" s="385">
        <v>7</v>
      </c>
      <c r="AC60" s="405"/>
      <c r="AD60" s="414">
        <v>5</v>
      </c>
      <c r="AE60" s="414">
        <v>5</v>
      </c>
      <c r="AF60" s="414">
        <v>5</v>
      </c>
      <c r="AG60" s="414">
        <v>5</v>
      </c>
      <c r="AH60" s="414">
        <v>5</v>
      </c>
      <c r="AI60" s="502">
        <v>34</v>
      </c>
      <c r="AJ60" s="405"/>
    </row>
    <row r="61" spans="1:36" ht="15.9" customHeight="1" x14ac:dyDescent="0.3">
      <c r="A61" s="335">
        <v>41</v>
      </c>
      <c r="B61" s="381">
        <v>1141</v>
      </c>
      <c r="C61" s="378" t="s">
        <v>638</v>
      </c>
      <c r="D61" s="519" t="s">
        <v>431</v>
      </c>
      <c r="E61" s="385"/>
      <c r="F61" s="509">
        <v>2</v>
      </c>
      <c r="G61" s="393">
        <v>2</v>
      </c>
      <c r="H61" s="393">
        <v>2</v>
      </c>
      <c r="I61" s="393">
        <v>2</v>
      </c>
      <c r="J61" s="393">
        <v>2</v>
      </c>
      <c r="K61" s="393"/>
      <c r="L61" s="393">
        <v>4</v>
      </c>
      <c r="M61" s="393">
        <v>4</v>
      </c>
      <c r="N61" s="393">
        <v>4</v>
      </c>
      <c r="O61" s="393">
        <v>4</v>
      </c>
      <c r="P61" s="376"/>
      <c r="Q61" s="493">
        <v>2</v>
      </c>
      <c r="R61" s="493">
        <v>2</v>
      </c>
      <c r="S61" s="498">
        <v>2</v>
      </c>
      <c r="T61" s="498">
        <v>2</v>
      </c>
      <c r="U61" s="498">
        <v>1</v>
      </c>
      <c r="V61" s="498">
        <v>2</v>
      </c>
      <c r="W61" s="498">
        <v>4</v>
      </c>
      <c r="X61" s="498">
        <v>4</v>
      </c>
      <c r="Y61" s="498">
        <v>4</v>
      </c>
      <c r="Z61" s="498">
        <v>4</v>
      </c>
      <c r="AA61" s="376"/>
      <c r="AB61" s="385">
        <v>10</v>
      </c>
      <c r="AC61" s="405"/>
      <c r="AD61" s="414">
        <v>3</v>
      </c>
      <c r="AE61" s="414">
        <v>3</v>
      </c>
      <c r="AF61" s="414">
        <v>5</v>
      </c>
      <c r="AG61" s="414">
        <v>4</v>
      </c>
      <c r="AH61" s="414">
        <v>5</v>
      </c>
      <c r="AI61" s="502">
        <v>88</v>
      </c>
      <c r="AJ61" s="405"/>
    </row>
    <row r="62" spans="1:36" ht="15.9" customHeight="1" x14ac:dyDescent="0.3">
      <c r="A62" s="335">
        <v>42</v>
      </c>
      <c r="B62" s="381">
        <v>1142</v>
      </c>
      <c r="C62" s="378" t="s">
        <v>639</v>
      </c>
      <c r="D62" s="519" t="s">
        <v>432</v>
      </c>
      <c r="E62" s="385"/>
      <c r="F62" s="509">
        <v>2</v>
      </c>
      <c r="G62" s="393">
        <v>0</v>
      </c>
      <c r="H62" s="393"/>
      <c r="I62" s="393"/>
      <c r="J62" s="393">
        <v>2</v>
      </c>
      <c r="K62" s="393"/>
      <c r="L62" s="393"/>
      <c r="M62" s="393"/>
      <c r="N62" s="393">
        <v>0</v>
      </c>
      <c r="O62" s="393"/>
      <c r="P62" s="376"/>
      <c r="Q62" s="493">
        <v>1</v>
      </c>
      <c r="R62" s="493"/>
      <c r="S62" s="498"/>
      <c r="T62" s="498"/>
      <c r="U62" s="498"/>
      <c r="V62" s="498"/>
      <c r="W62" s="498"/>
      <c r="X62" s="498"/>
      <c r="Y62" s="498">
        <v>0</v>
      </c>
      <c r="Z62" s="498"/>
      <c r="AA62" s="376"/>
      <c r="AB62" s="385">
        <v>9</v>
      </c>
      <c r="AC62" s="405"/>
      <c r="AD62" s="414">
        <v>3</v>
      </c>
      <c r="AE62" s="414">
        <v>4</v>
      </c>
      <c r="AF62" s="414">
        <v>3</v>
      </c>
      <c r="AG62" s="414">
        <v>4</v>
      </c>
      <c r="AH62" s="414">
        <v>4</v>
      </c>
      <c r="AI62" s="502">
        <v>12</v>
      </c>
      <c r="AJ62" s="405"/>
    </row>
    <row r="63" spans="1:36" ht="15.9" customHeight="1" x14ac:dyDescent="0.3">
      <c r="A63" s="335">
        <v>43</v>
      </c>
      <c r="B63" s="381">
        <v>1143</v>
      </c>
      <c r="C63" s="378" t="s">
        <v>640</v>
      </c>
      <c r="D63" s="519" t="s">
        <v>433</v>
      </c>
      <c r="E63" s="385"/>
      <c r="F63" s="509">
        <v>2</v>
      </c>
      <c r="G63" s="393">
        <v>2</v>
      </c>
      <c r="H63" s="393">
        <v>1</v>
      </c>
      <c r="I63" s="393">
        <v>2</v>
      </c>
      <c r="J63" s="393">
        <v>2</v>
      </c>
      <c r="K63" s="393"/>
      <c r="L63" s="393">
        <v>4</v>
      </c>
      <c r="M63" s="393">
        <v>1</v>
      </c>
      <c r="N63" s="393"/>
      <c r="O63" s="393">
        <v>4</v>
      </c>
      <c r="P63" s="376"/>
      <c r="Q63" s="493">
        <v>2</v>
      </c>
      <c r="R63" s="493">
        <v>2</v>
      </c>
      <c r="S63" s="498">
        <v>2</v>
      </c>
      <c r="T63" s="498">
        <v>1</v>
      </c>
      <c r="U63" s="498">
        <v>2</v>
      </c>
      <c r="V63" s="498">
        <v>2</v>
      </c>
      <c r="W63" s="498">
        <v>4</v>
      </c>
      <c r="X63" s="498">
        <v>4</v>
      </c>
      <c r="Y63" s="498">
        <v>4</v>
      </c>
      <c r="Z63" s="498"/>
      <c r="AA63" s="376"/>
      <c r="AB63" s="385">
        <v>9</v>
      </c>
      <c r="AC63" s="405"/>
      <c r="AD63" s="414">
        <v>3</v>
      </c>
      <c r="AE63" s="414">
        <v>3</v>
      </c>
      <c r="AF63" s="414">
        <v>3</v>
      </c>
      <c r="AG63" s="414">
        <v>3</v>
      </c>
      <c r="AH63" s="414">
        <v>3</v>
      </c>
      <c r="AI63" s="502">
        <v>64</v>
      </c>
      <c r="AJ63" s="405"/>
    </row>
    <row r="64" spans="1:36" ht="15.9" customHeight="1" x14ac:dyDescent="0.3">
      <c r="A64" s="335">
        <v>44</v>
      </c>
      <c r="B64" s="381">
        <v>1144</v>
      </c>
      <c r="C64" s="378" t="s">
        <v>641</v>
      </c>
      <c r="D64" s="519" t="s">
        <v>434</v>
      </c>
      <c r="E64" s="385"/>
      <c r="F64" s="509">
        <v>2</v>
      </c>
      <c r="G64" s="393">
        <v>2</v>
      </c>
      <c r="H64" s="393">
        <v>2</v>
      </c>
      <c r="I64" s="393">
        <v>2</v>
      </c>
      <c r="J64" s="393">
        <v>1</v>
      </c>
      <c r="K64" s="393">
        <v>2</v>
      </c>
      <c r="L64" s="393">
        <v>4</v>
      </c>
      <c r="M64" s="393">
        <v>4</v>
      </c>
      <c r="N64" s="393">
        <v>3</v>
      </c>
      <c r="O64" s="393">
        <v>4</v>
      </c>
      <c r="P64" s="376"/>
      <c r="Q64" s="493">
        <v>2</v>
      </c>
      <c r="R64" s="493">
        <v>2</v>
      </c>
      <c r="S64" s="498">
        <v>1</v>
      </c>
      <c r="T64" s="498">
        <v>1</v>
      </c>
      <c r="U64" s="498">
        <v>1</v>
      </c>
      <c r="V64" s="498">
        <v>2</v>
      </c>
      <c r="W64" s="498">
        <v>4</v>
      </c>
      <c r="X64" s="498">
        <v>4</v>
      </c>
      <c r="Y64" s="498">
        <v>4</v>
      </c>
      <c r="Z64" s="498">
        <v>4</v>
      </c>
      <c r="AA64" s="376"/>
      <c r="AB64" s="385">
        <v>10</v>
      </c>
      <c r="AC64" s="405"/>
      <c r="AD64" s="414">
        <v>4</v>
      </c>
      <c r="AE64" s="414">
        <v>3</v>
      </c>
      <c r="AF64" s="414">
        <v>3</v>
      </c>
      <c r="AG64" s="414">
        <v>3</v>
      </c>
      <c r="AH64" s="414">
        <v>4</v>
      </c>
      <c r="AI64" s="502">
        <v>86</v>
      </c>
      <c r="AJ64" s="405"/>
    </row>
    <row r="65" spans="1:36" ht="15.9" customHeight="1" x14ac:dyDescent="0.3">
      <c r="A65" s="335">
        <v>45</v>
      </c>
      <c r="B65" s="381">
        <v>1145</v>
      </c>
      <c r="C65" s="378" t="s">
        <v>642</v>
      </c>
      <c r="D65" s="519" t="s">
        <v>435</v>
      </c>
      <c r="E65" s="385"/>
      <c r="F65" s="509">
        <v>2</v>
      </c>
      <c r="G65" s="393">
        <v>2</v>
      </c>
      <c r="H65" s="393">
        <v>2</v>
      </c>
      <c r="I65" s="393">
        <v>2</v>
      </c>
      <c r="J65" s="393">
        <v>2</v>
      </c>
      <c r="K65" s="393">
        <v>2</v>
      </c>
      <c r="L65" s="393">
        <v>4</v>
      </c>
      <c r="M65" s="393">
        <v>4</v>
      </c>
      <c r="N65" s="393">
        <v>2</v>
      </c>
      <c r="O65" s="393">
        <v>4</v>
      </c>
      <c r="P65" s="376"/>
      <c r="Q65" s="493">
        <v>2</v>
      </c>
      <c r="R65" s="493">
        <v>2</v>
      </c>
      <c r="S65" s="498">
        <v>2</v>
      </c>
      <c r="T65" s="498">
        <v>2</v>
      </c>
      <c r="U65" s="498"/>
      <c r="V65" s="498"/>
      <c r="W65" s="498">
        <v>4</v>
      </c>
      <c r="X65" s="498">
        <v>4</v>
      </c>
      <c r="Y65" s="498">
        <v>4</v>
      </c>
      <c r="Z65" s="498">
        <v>0</v>
      </c>
      <c r="AA65" s="376"/>
      <c r="AB65" s="385">
        <v>10</v>
      </c>
      <c r="AC65" s="405"/>
      <c r="AD65" s="414">
        <v>5</v>
      </c>
      <c r="AE65" s="414">
        <v>5</v>
      </c>
      <c r="AF65" s="414">
        <v>5</v>
      </c>
      <c r="AG65" s="414">
        <v>5</v>
      </c>
      <c r="AH65" s="414">
        <v>5</v>
      </c>
      <c r="AI65" s="502">
        <v>74</v>
      </c>
      <c r="AJ65" s="405"/>
    </row>
    <row r="66" spans="1:36" ht="15.9" customHeight="1" x14ac:dyDescent="0.3">
      <c r="A66" s="335">
        <v>46</v>
      </c>
      <c r="B66" s="381">
        <v>1146</v>
      </c>
      <c r="C66" s="378" t="s">
        <v>643</v>
      </c>
      <c r="D66" s="519" t="s">
        <v>436</v>
      </c>
      <c r="E66" s="385"/>
      <c r="F66" s="509">
        <v>2</v>
      </c>
      <c r="G66" s="393">
        <v>2</v>
      </c>
      <c r="H66" s="393"/>
      <c r="I66" s="393">
        <v>2</v>
      </c>
      <c r="J66" s="393">
        <v>2</v>
      </c>
      <c r="K66" s="393">
        <v>2</v>
      </c>
      <c r="L66" s="393"/>
      <c r="M66" s="393">
        <v>4</v>
      </c>
      <c r="N66" s="393">
        <v>2</v>
      </c>
      <c r="O66" s="393">
        <v>0</v>
      </c>
      <c r="P66" s="376"/>
      <c r="Q66" s="493">
        <v>2</v>
      </c>
      <c r="R66" s="493"/>
      <c r="S66" s="498">
        <v>2</v>
      </c>
      <c r="T66" s="498">
        <v>1</v>
      </c>
      <c r="U66" s="498">
        <v>1</v>
      </c>
      <c r="V66" s="498">
        <v>2</v>
      </c>
      <c r="W66" s="498">
        <v>2</v>
      </c>
      <c r="X66" s="498">
        <v>3</v>
      </c>
      <c r="Y66" s="498">
        <v>2</v>
      </c>
      <c r="Z66" s="498"/>
      <c r="AA66" s="376"/>
      <c r="AB66" s="385">
        <v>7</v>
      </c>
      <c r="AC66" s="405"/>
      <c r="AD66" s="414">
        <v>3</v>
      </c>
      <c r="AE66" s="414">
        <v>3</v>
      </c>
      <c r="AF66" s="414">
        <v>5</v>
      </c>
      <c r="AG66" s="414">
        <v>4</v>
      </c>
      <c r="AH66" s="414">
        <v>5</v>
      </c>
      <c r="AI66" s="502">
        <v>38</v>
      </c>
      <c r="AJ66" s="405"/>
    </row>
    <row r="67" spans="1:36" ht="15.9" customHeight="1" x14ac:dyDescent="0.3">
      <c r="A67" s="335">
        <v>47</v>
      </c>
      <c r="B67" s="381">
        <v>1147</v>
      </c>
      <c r="C67" s="378" t="s">
        <v>644</v>
      </c>
      <c r="D67" s="519" t="s">
        <v>437</v>
      </c>
      <c r="E67" s="385"/>
      <c r="F67" s="509">
        <v>1</v>
      </c>
      <c r="G67" s="393"/>
      <c r="H67" s="393"/>
      <c r="I67" s="393"/>
      <c r="J67" s="393"/>
      <c r="K67" s="393"/>
      <c r="L67" s="393"/>
      <c r="M67" s="393">
        <v>2</v>
      </c>
      <c r="N67" s="393">
        <v>4</v>
      </c>
      <c r="O67" s="393"/>
      <c r="P67" s="376"/>
      <c r="Q67" s="493">
        <v>0</v>
      </c>
      <c r="R67" s="493">
        <v>2</v>
      </c>
      <c r="S67" s="498"/>
      <c r="T67" s="498"/>
      <c r="U67" s="498">
        <v>2</v>
      </c>
      <c r="V67" s="498"/>
      <c r="W67" s="498"/>
      <c r="X67" s="498">
        <v>4</v>
      </c>
      <c r="Y67" s="498">
        <v>4</v>
      </c>
      <c r="Z67" s="498"/>
      <c r="AA67" s="376"/>
      <c r="AB67" s="385">
        <v>7</v>
      </c>
      <c r="AC67" s="405"/>
      <c r="AD67" s="414">
        <v>4</v>
      </c>
      <c r="AE67" s="414">
        <v>3</v>
      </c>
      <c r="AF67" s="414">
        <v>4</v>
      </c>
      <c r="AG67" s="414">
        <v>2</v>
      </c>
      <c r="AH67" s="414">
        <v>3</v>
      </c>
      <c r="AI67" s="502">
        <v>26</v>
      </c>
      <c r="AJ67" s="405"/>
    </row>
    <row r="68" spans="1:36" ht="15.9" customHeight="1" x14ac:dyDescent="0.3">
      <c r="A68" s="335">
        <v>48</v>
      </c>
      <c r="B68" s="381">
        <v>1148</v>
      </c>
      <c r="C68" s="378" t="s">
        <v>645</v>
      </c>
      <c r="D68" s="519" t="s">
        <v>438</v>
      </c>
      <c r="E68" s="385"/>
      <c r="F68" s="509">
        <v>2</v>
      </c>
      <c r="G68" s="393">
        <v>2</v>
      </c>
      <c r="H68" s="393">
        <v>2</v>
      </c>
      <c r="I68" s="393">
        <v>2</v>
      </c>
      <c r="J68" s="393">
        <v>2</v>
      </c>
      <c r="K68" s="393"/>
      <c r="L68" s="393"/>
      <c r="M68" s="393">
        <v>4</v>
      </c>
      <c r="N68" s="393">
        <v>1</v>
      </c>
      <c r="O68" s="393">
        <v>4</v>
      </c>
      <c r="P68" s="376"/>
      <c r="Q68" s="493">
        <v>2</v>
      </c>
      <c r="R68" s="493">
        <v>2</v>
      </c>
      <c r="S68" s="498">
        <v>1</v>
      </c>
      <c r="T68" s="498">
        <v>2</v>
      </c>
      <c r="U68" s="498">
        <v>2</v>
      </c>
      <c r="V68" s="498"/>
      <c r="W68" s="498">
        <v>4</v>
      </c>
      <c r="X68" s="498">
        <v>4</v>
      </c>
      <c r="Y68" s="498">
        <v>4</v>
      </c>
      <c r="Z68" s="498">
        <v>2</v>
      </c>
      <c r="AA68" s="376"/>
      <c r="AB68" s="385">
        <v>9</v>
      </c>
      <c r="AC68" s="405"/>
      <c r="AD68" s="414">
        <v>4</v>
      </c>
      <c r="AE68" s="414">
        <v>4</v>
      </c>
      <c r="AF68" s="414">
        <v>4</v>
      </c>
      <c r="AG68" s="414">
        <v>4</v>
      </c>
      <c r="AH68" s="414">
        <v>4</v>
      </c>
      <c r="AI68" s="502">
        <v>46</v>
      </c>
      <c r="AJ68" s="405"/>
    </row>
    <row r="69" spans="1:36" ht="15.9" customHeight="1" x14ac:dyDescent="0.3">
      <c r="A69" s="335">
        <v>49</v>
      </c>
      <c r="B69" s="381">
        <v>1149</v>
      </c>
      <c r="C69" s="378" t="s">
        <v>646</v>
      </c>
      <c r="D69" s="519" t="s">
        <v>439</v>
      </c>
      <c r="E69" s="385"/>
      <c r="F69" s="509">
        <v>0</v>
      </c>
      <c r="G69" s="393">
        <v>1</v>
      </c>
      <c r="H69" s="393"/>
      <c r="I69" s="393"/>
      <c r="J69" s="393"/>
      <c r="K69" s="393"/>
      <c r="L69" s="393"/>
      <c r="M69" s="393"/>
      <c r="N69" s="393"/>
      <c r="O69" s="393">
        <v>1</v>
      </c>
      <c r="P69" s="376"/>
      <c r="Q69" s="493">
        <v>2</v>
      </c>
      <c r="R69" s="493">
        <v>2</v>
      </c>
      <c r="S69" s="498">
        <v>2</v>
      </c>
      <c r="T69" s="498"/>
      <c r="U69" s="498"/>
      <c r="V69" s="498"/>
      <c r="W69" s="498"/>
      <c r="X69" s="498"/>
      <c r="Y69" s="498"/>
      <c r="Z69" s="498"/>
      <c r="AA69" s="376"/>
      <c r="AB69" s="385">
        <v>8</v>
      </c>
      <c r="AC69" s="405"/>
      <c r="AD69" s="414">
        <v>3</v>
      </c>
      <c r="AE69" s="414">
        <v>2</v>
      </c>
      <c r="AF69" s="414">
        <v>3</v>
      </c>
      <c r="AG69" s="414">
        <v>4</v>
      </c>
      <c r="AH69" s="414">
        <v>5</v>
      </c>
      <c r="AI69" s="502">
        <v>16</v>
      </c>
      <c r="AJ69" s="405"/>
    </row>
    <row r="70" spans="1:36" ht="15.9" customHeight="1" x14ac:dyDescent="0.3">
      <c r="A70" s="335">
        <v>50</v>
      </c>
      <c r="B70" s="381">
        <v>1150</v>
      </c>
      <c r="C70" s="378" t="s">
        <v>647</v>
      </c>
      <c r="D70" s="519" t="s">
        <v>440</v>
      </c>
      <c r="E70" s="385"/>
      <c r="F70" s="509">
        <v>2</v>
      </c>
      <c r="G70" s="393">
        <v>2</v>
      </c>
      <c r="H70" s="393"/>
      <c r="I70" s="393">
        <v>1</v>
      </c>
      <c r="J70" s="393"/>
      <c r="K70" s="393">
        <v>1</v>
      </c>
      <c r="L70" s="393">
        <v>4</v>
      </c>
      <c r="M70" s="393">
        <v>3</v>
      </c>
      <c r="N70" s="393">
        <v>2</v>
      </c>
      <c r="O70" s="393">
        <v>4</v>
      </c>
      <c r="P70" s="376"/>
      <c r="Q70" s="493">
        <v>2</v>
      </c>
      <c r="R70" s="493">
        <v>2</v>
      </c>
      <c r="S70" s="498">
        <v>2</v>
      </c>
      <c r="T70" s="498"/>
      <c r="U70" s="498">
        <v>2</v>
      </c>
      <c r="V70" s="498">
        <v>2</v>
      </c>
      <c r="W70" s="498">
        <v>4</v>
      </c>
      <c r="X70" s="498">
        <v>0</v>
      </c>
      <c r="Y70" s="498">
        <v>4</v>
      </c>
      <c r="Z70" s="498">
        <v>4</v>
      </c>
      <c r="AA70" s="376"/>
      <c r="AB70" s="385">
        <v>9</v>
      </c>
      <c r="AC70" s="407"/>
      <c r="AD70" s="414">
        <v>5</v>
      </c>
      <c r="AE70" s="414">
        <v>5</v>
      </c>
      <c r="AF70" s="414">
        <v>5</v>
      </c>
      <c r="AG70" s="414">
        <v>5</v>
      </c>
      <c r="AH70" s="414">
        <v>5</v>
      </c>
      <c r="AI70" s="502">
        <v>77</v>
      </c>
      <c r="AJ70" s="407"/>
    </row>
    <row r="71" spans="1:36" ht="15.9" customHeight="1" x14ac:dyDescent="0.3">
      <c r="A71" s="335">
        <v>51</v>
      </c>
      <c r="B71" s="381">
        <v>1151</v>
      </c>
      <c r="C71" s="378" t="s">
        <v>648</v>
      </c>
      <c r="D71" s="519" t="s">
        <v>441</v>
      </c>
      <c r="E71" s="385"/>
      <c r="F71" s="509">
        <v>2</v>
      </c>
      <c r="G71" s="393">
        <v>2</v>
      </c>
      <c r="H71" s="393">
        <v>1</v>
      </c>
      <c r="I71" s="393"/>
      <c r="J71" s="393"/>
      <c r="K71" s="393">
        <v>1</v>
      </c>
      <c r="L71" s="393"/>
      <c r="M71" s="393">
        <v>1</v>
      </c>
      <c r="N71" s="393">
        <v>4</v>
      </c>
      <c r="O71" s="393">
        <v>0</v>
      </c>
      <c r="P71" s="376"/>
      <c r="Q71" s="493">
        <v>2</v>
      </c>
      <c r="R71" s="493">
        <v>0</v>
      </c>
      <c r="S71" s="498">
        <v>1</v>
      </c>
      <c r="T71" s="498"/>
      <c r="U71" s="498"/>
      <c r="V71" s="498"/>
      <c r="W71" s="498">
        <v>2</v>
      </c>
      <c r="X71" s="498"/>
      <c r="Y71" s="498"/>
      <c r="Z71" s="498"/>
      <c r="AA71" s="376"/>
      <c r="AB71" s="385">
        <v>7</v>
      </c>
      <c r="AC71" s="405"/>
      <c r="AD71" s="414">
        <v>4</v>
      </c>
      <c r="AE71" s="414">
        <v>3</v>
      </c>
      <c r="AF71" s="414">
        <v>4</v>
      </c>
      <c r="AG71" s="414">
        <v>3</v>
      </c>
      <c r="AH71" s="414">
        <v>3</v>
      </c>
      <c r="AI71" s="502">
        <v>34</v>
      </c>
      <c r="AJ71" s="405"/>
    </row>
    <row r="72" spans="1:36" ht="15.9" customHeight="1" x14ac:dyDescent="0.3">
      <c r="A72" s="335">
        <v>52</v>
      </c>
      <c r="B72" s="381">
        <v>1152</v>
      </c>
      <c r="C72" s="378" t="s">
        <v>649</v>
      </c>
      <c r="D72" s="519" t="s">
        <v>442</v>
      </c>
      <c r="E72" s="385"/>
      <c r="F72" s="509">
        <v>1</v>
      </c>
      <c r="G72" s="393"/>
      <c r="H72" s="393"/>
      <c r="I72" s="393"/>
      <c r="J72" s="393"/>
      <c r="K72" s="393"/>
      <c r="L72" s="393"/>
      <c r="M72" s="393"/>
      <c r="N72" s="393"/>
      <c r="O72" s="393"/>
      <c r="P72" s="376"/>
      <c r="Q72" s="493">
        <v>2</v>
      </c>
      <c r="R72" s="493"/>
      <c r="S72" s="498"/>
      <c r="T72" s="498"/>
      <c r="U72" s="498"/>
      <c r="V72" s="498"/>
      <c r="W72" s="498"/>
      <c r="X72" s="498"/>
      <c r="Y72" s="498"/>
      <c r="Z72" s="498"/>
      <c r="AA72" s="376"/>
      <c r="AB72" s="385">
        <v>10</v>
      </c>
      <c r="AC72" s="405"/>
      <c r="AD72" s="414">
        <v>4</v>
      </c>
      <c r="AE72" s="414">
        <v>4</v>
      </c>
      <c r="AF72" s="414">
        <v>5</v>
      </c>
      <c r="AG72" s="414">
        <v>4</v>
      </c>
      <c r="AH72" s="414">
        <v>5</v>
      </c>
      <c r="AI72" s="502">
        <v>20</v>
      </c>
      <c r="AJ72" s="405"/>
    </row>
    <row r="73" spans="1:36" ht="15.9" customHeight="1" x14ac:dyDescent="0.3">
      <c r="A73" s="335">
        <v>53</v>
      </c>
      <c r="B73" s="381">
        <v>1153</v>
      </c>
      <c r="C73" s="378" t="s">
        <v>650</v>
      </c>
      <c r="D73" s="519" t="s">
        <v>443</v>
      </c>
      <c r="E73" s="385"/>
      <c r="F73" s="509">
        <v>2</v>
      </c>
      <c r="G73" s="393">
        <v>2</v>
      </c>
      <c r="H73" s="393"/>
      <c r="I73" s="393">
        <v>2</v>
      </c>
      <c r="J73" s="393">
        <v>2</v>
      </c>
      <c r="K73" s="393">
        <v>2</v>
      </c>
      <c r="L73" s="393">
        <v>4</v>
      </c>
      <c r="M73" s="393">
        <v>4</v>
      </c>
      <c r="N73" s="393">
        <v>4</v>
      </c>
      <c r="O73" s="393">
        <v>4</v>
      </c>
      <c r="P73" s="376"/>
      <c r="Q73" s="493">
        <v>2</v>
      </c>
      <c r="R73" s="493">
        <v>2</v>
      </c>
      <c r="S73" s="498">
        <v>2</v>
      </c>
      <c r="T73" s="498">
        <v>2</v>
      </c>
      <c r="U73" s="498">
        <v>2</v>
      </c>
      <c r="V73" s="498">
        <v>2</v>
      </c>
      <c r="W73" s="498">
        <v>4</v>
      </c>
      <c r="X73" s="498">
        <v>4</v>
      </c>
      <c r="Y73" s="498">
        <v>4</v>
      </c>
      <c r="Z73" s="498">
        <v>4</v>
      </c>
      <c r="AA73" s="376"/>
      <c r="AB73" s="385">
        <v>10</v>
      </c>
      <c r="AC73" s="405"/>
      <c r="AD73" s="414">
        <v>3</v>
      </c>
      <c r="AE73" s="414">
        <v>3</v>
      </c>
      <c r="AF73" s="414">
        <v>5</v>
      </c>
      <c r="AG73" s="414">
        <v>4</v>
      </c>
      <c r="AH73" s="414">
        <v>5</v>
      </c>
      <c r="AI73" s="502">
        <v>91</v>
      </c>
      <c r="AJ73" s="405"/>
    </row>
    <row r="74" spans="1:36" ht="15.9" customHeight="1" x14ac:dyDescent="0.3">
      <c r="A74" s="335">
        <v>54</v>
      </c>
      <c r="B74" s="381">
        <v>1154</v>
      </c>
      <c r="C74" s="378" t="s">
        <v>651</v>
      </c>
      <c r="D74" s="519" t="s">
        <v>444</v>
      </c>
      <c r="E74" s="385"/>
      <c r="F74" s="509">
        <v>2</v>
      </c>
      <c r="G74" s="393">
        <v>2</v>
      </c>
      <c r="H74" s="393">
        <v>1</v>
      </c>
      <c r="I74" s="393">
        <v>2</v>
      </c>
      <c r="J74" s="393">
        <v>1</v>
      </c>
      <c r="K74" s="393"/>
      <c r="L74" s="393">
        <v>4</v>
      </c>
      <c r="M74" s="393">
        <v>1</v>
      </c>
      <c r="N74" s="393">
        <v>2</v>
      </c>
      <c r="O74" s="393">
        <v>3</v>
      </c>
      <c r="P74" s="376"/>
      <c r="Q74" s="493">
        <v>2</v>
      </c>
      <c r="R74" s="493">
        <v>1</v>
      </c>
      <c r="S74" s="498">
        <v>0</v>
      </c>
      <c r="T74" s="498"/>
      <c r="U74" s="498">
        <v>1</v>
      </c>
      <c r="V74" s="498"/>
      <c r="W74" s="498">
        <v>4</v>
      </c>
      <c r="X74" s="498"/>
      <c r="Y74" s="498">
        <v>4</v>
      </c>
      <c r="Z74" s="498"/>
      <c r="AA74" s="376"/>
      <c r="AB74" s="385">
        <v>7</v>
      </c>
      <c r="AC74" s="407"/>
      <c r="AD74" s="414">
        <v>3</v>
      </c>
      <c r="AE74" s="414">
        <v>3</v>
      </c>
      <c r="AF74" s="414">
        <v>3</v>
      </c>
      <c r="AG74" s="414">
        <v>3</v>
      </c>
      <c r="AH74" s="414">
        <v>3</v>
      </c>
      <c r="AI74" s="502">
        <v>49</v>
      </c>
      <c r="AJ74" s="407"/>
    </row>
    <row r="75" spans="1:36" ht="15.9" customHeight="1" x14ac:dyDescent="0.3">
      <c r="A75" s="335">
        <v>55</v>
      </c>
      <c r="B75" s="381">
        <v>1155</v>
      </c>
      <c r="C75" s="378" t="s">
        <v>652</v>
      </c>
      <c r="D75" s="519" t="s">
        <v>445</v>
      </c>
      <c r="E75" s="385"/>
      <c r="F75" s="509">
        <v>2</v>
      </c>
      <c r="G75" s="393"/>
      <c r="H75" s="393"/>
      <c r="I75" s="393">
        <v>2</v>
      </c>
      <c r="J75" s="393">
        <v>1</v>
      </c>
      <c r="K75" s="393"/>
      <c r="L75" s="393"/>
      <c r="M75" s="393"/>
      <c r="N75" s="393">
        <v>0</v>
      </c>
      <c r="O75" s="393"/>
      <c r="P75" s="376"/>
      <c r="Q75" s="493">
        <v>0</v>
      </c>
      <c r="R75" s="493">
        <v>0</v>
      </c>
      <c r="S75" s="498">
        <v>2</v>
      </c>
      <c r="T75" s="498"/>
      <c r="U75" s="498"/>
      <c r="V75" s="498"/>
      <c r="W75" s="498"/>
      <c r="X75" s="498"/>
      <c r="Y75" s="498">
        <v>3</v>
      </c>
      <c r="Z75" s="498"/>
      <c r="AA75" s="376"/>
      <c r="AB75" s="385">
        <v>7</v>
      </c>
      <c r="AC75" s="405"/>
      <c r="AD75" s="414">
        <v>3</v>
      </c>
      <c r="AE75" s="414">
        <v>3</v>
      </c>
      <c r="AF75" s="414">
        <v>5</v>
      </c>
      <c r="AG75" s="414">
        <v>4</v>
      </c>
      <c r="AH75" s="414">
        <v>5</v>
      </c>
      <c r="AI75" s="502">
        <v>14</v>
      </c>
      <c r="AJ75" s="405"/>
    </row>
    <row r="76" spans="1:36" ht="15.9" customHeight="1" x14ac:dyDescent="0.3">
      <c r="A76" s="335">
        <v>56</v>
      </c>
      <c r="B76" s="381">
        <v>1156</v>
      </c>
      <c r="C76" s="378" t="s">
        <v>653</v>
      </c>
      <c r="D76" s="519" t="s">
        <v>446</v>
      </c>
      <c r="E76" s="385"/>
      <c r="F76" s="509">
        <v>2</v>
      </c>
      <c r="G76" s="393">
        <v>2</v>
      </c>
      <c r="H76" s="393">
        <v>2</v>
      </c>
      <c r="I76" s="393">
        <v>2</v>
      </c>
      <c r="J76" s="393">
        <v>1</v>
      </c>
      <c r="K76" s="393">
        <v>1</v>
      </c>
      <c r="L76" s="393">
        <v>4</v>
      </c>
      <c r="M76" s="393">
        <v>2</v>
      </c>
      <c r="N76" s="393">
        <v>3</v>
      </c>
      <c r="O76" s="393">
        <v>3</v>
      </c>
      <c r="P76" s="376"/>
      <c r="Q76" s="493">
        <v>2</v>
      </c>
      <c r="R76" s="493">
        <v>2</v>
      </c>
      <c r="S76" s="498">
        <v>2</v>
      </c>
      <c r="T76" s="498"/>
      <c r="U76" s="498">
        <v>2</v>
      </c>
      <c r="V76" s="498">
        <v>2</v>
      </c>
      <c r="W76" s="498">
        <v>4</v>
      </c>
      <c r="X76" s="498">
        <v>4</v>
      </c>
      <c r="Y76" s="498">
        <v>4</v>
      </c>
      <c r="Z76" s="498">
        <v>3</v>
      </c>
      <c r="AA76" s="376"/>
      <c r="AB76" s="385">
        <v>9</v>
      </c>
      <c r="AC76" s="405"/>
      <c r="AD76" s="414">
        <v>3</v>
      </c>
      <c r="AE76" s="414">
        <v>4</v>
      </c>
      <c r="AF76" s="414">
        <v>5</v>
      </c>
      <c r="AG76" s="414">
        <v>4</v>
      </c>
      <c r="AH76" s="414">
        <v>5</v>
      </c>
      <c r="AI76" s="502">
        <v>64</v>
      </c>
      <c r="AJ76" s="405"/>
    </row>
    <row r="77" spans="1:36" ht="15.9" customHeight="1" x14ac:dyDescent="0.3">
      <c r="A77" s="335">
        <v>57</v>
      </c>
      <c r="B77" s="381">
        <v>1157</v>
      </c>
      <c r="C77" s="378" t="s">
        <v>654</v>
      </c>
      <c r="D77" s="519" t="s">
        <v>447</v>
      </c>
      <c r="E77" s="385"/>
      <c r="F77" s="509">
        <v>2</v>
      </c>
      <c r="G77" s="393">
        <v>2</v>
      </c>
      <c r="H77" s="393"/>
      <c r="I77" s="393"/>
      <c r="J77" s="393">
        <v>2</v>
      </c>
      <c r="K77" s="393">
        <v>1</v>
      </c>
      <c r="L77" s="393">
        <v>4</v>
      </c>
      <c r="M77" s="393">
        <v>3</v>
      </c>
      <c r="N77" s="393">
        <v>3</v>
      </c>
      <c r="O77" s="393"/>
      <c r="P77" s="376"/>
      <c r="Q77" s="493">
        <v>1</v>
      </c>
      <c r="R77" s="493">
        <v>1</v>
      </c>
      <c r="S77" s="498">
        <v>0</v>
      </c>
      <c r="T77" s="498">
        <v>0</v>
      </c>
      <c r="U77" s="498"/>
      <c r="V77" s="498"/>
      <c r="W77" s="498">
        <v>0</v>
      </c>
      <c r="X77" s="498"/>
      <c r="Y77" s="498">
        <v>0</v>
      </c>
      <c r="Z77" s="498"/>
      <c r="AA77" s="376"/>
      <c r="AB77" s="385">
        <v>7</v>
      </c>
      <c r="AC77" s="400"/>
      <c r="AD77" s="414">
        <v>4</v>
      </c>
      <c r="AE77" s="414">
        <v>3</v>
      </c>
      <c r="AF77" s="414">
        <v>3</v>
      </c>
      <c r="AG77" s="414">
        <v>2</v>
      </c>
      <c r="AH77" s="414">
        <v>4</v>
      </c>
      <c r="AI77" s="502">
        <v>45</v>
      </c>
      <c r="AJ77" s="400"/>
    </row>
    <row r="78" spans="1:36" ht="15.9" customHeight="1" x14ac:dyDescent="0.3">
      <c r="A78" s="335">
        <v>58</v>
      </c>
      <c r="B78" s="381">
        <v>1158</v>
      </c>
      <c r="C78" s="378" t="s">
        <v>655</v>
      </c>
      <c r="D78" s="519" t="s">
        <v>448</v>
      </c>
      <c r="E78" s="520"/>
      <c r="F78" s="509">
        <v>2</v>
      </c>
      <c r="G78" s="393">
        <v>2</v>
      </c>
      <c r="H78" s="393">
        <v>1</v>
      </c>
      <c r="I78" s="393">
        <v>2</v>
      </c>
      <c r="J78" s="393"/>
      <c r="K78" s="393">
        <v>2</v>
      </c>
      <c r="L78" s="393">
        <v>4</v>
      </c>
      <c r="M78" s="393">
        <v>2</v>
      </c>
      <c r="N78" s="393">
        <v>3</v>
      </c>
      <c r="O78" s="393">
        <v>4</v>
      </c>
      <c r="P78" s="376"/>
      <c r="Q78" s="493">
        <v>0</v>
      </c>
      <c r="R78" s="493">
        <v>2</v>
      </c>
      <c r="S78" s="498">
        <v>2</v>
      </c>
      <c r="T78" s="498"/>
      <c r="U78" s="498">
        <v>2</v>
      </c>
      <c r="V78" s="498">
        <v>2</v>
      </c>
      <c r="W78" s="498">
        <v>4</v>
      </c>
      <c r="X78" s="498">
        <v>4</v>
      </c>
      <c r="Y78" s="498">
        <v>2</v>
      </c>
      <c r="Z78" s="498"/>
      <c r="AA78" s="376"/>
      <c r="AB78" s="385">
        <v>9</v>
      </c>
      <c r="AC78" s="400"/>
      <c r="AD78" s="414">
        <v>1</v>
      </c>
      <c r="AE78" s="414">
        <v>1</v>
      </c>
      <c r="AF78" s="414">
        <v>2</v>
      </c>
      <c r="AG78" s="414">
        <v>2</v>
      </c>
      <c r="AH78" s="414">
        <v>3</v>
      </c>
      <c r="AI78" s="502">
        <v>76</v>
      </c>
      <c r="AJ78" s="400"/>
    </row>
    <row r="79" spans="1:36" ht="15.9" customHeight="1" x14ac:dyDescent="0.3">
      <c r="A79" s="335">
        <v>59</v>
      </c>
      <c r="B79" s="381">
        <v>1159</v>
      </c>
      <c r="C79" s="378" t="s">
        <v>656</v>
      </c>
      <c r="D79" s="519" t="s">
        <v>449</v>
      </c>
      <c r="E79" s="520"/>
      <c r="F79" s="509">
        <v>2</v>
      </c>
      <c r="G79" s="393">
        <v>2</v>
      </c>
      <c r="H79" s="393"/>
      <c r="I79" s="393"/>
      <c r="J79" s="393">
        <v>2</v>
      </c>
      <c r="K79" s="393"/>
      <c r="L79" s="393"/>
      <c r="M79" s="393">
        <v>1</v>
      </c>
      <c r="N79" s="393"/>
      <c r="O79" s="393"/>
      <c r="P79" s="376"/>
      <c r="Q79" s="493">
        <v>2</v>
      </c>
      <c r="R79" s="493"/>
      <c r="S79" s="498">
        <v>0</v>
      </c>
      <c r="T79" s="498"/>
      <c r="U79" s="498">
        <v>2</v>
      </c>
      <c r="V79" s="498"/>
      <c r="W79" s="498">
        <v>4</v>
      </c>
      <c r="X79" s="498"/>
      <c r="Y79" s="498"/>
      <c r="Z79" s="498"/>
      <c r="AA79" s="376"/>
      <c r="AB79" s="385">
        <v>6</v>
      </c>
      <c r="AC79" s="406"/>
      <c r="AD79" s="414">
        <v>3</v>
      </c>
      <c r="AE79" s="414">
        <v>3</v>
      </c>
      <c r="AF79" s="414">
        <v>3</v>
      </c>
      <c r="AG79" s="414">
        <v>3</v>
      </c>
      <c r="AH79" s="414">
        <v>3</v>
      </c>
      <c r="AI79" s="502">
        <v>19</v>
      </c>
      <c r="AJ79" s="406"/>
    </row>
    <row r="80" spans="1:36" ht="15.9" customHeight="1" x14ac:dyDescent="0.3">
      <c r="A80" s="335">
        <v>60</v>
      </c>
      <c r="B80" s="381">
        <v>1160</v>
      </c>
      <c r="C80" s="378" t="s">
        <v>657</v>
      </c>
      <c r="D80" s="519" t="s">
        <v>450</v>
      </c>
      <c r="E80" s="520"/>
      <c r="F80" s="509">
        <v>2</v>
      </c>
      <c r="G80" s="393">
        <v>2</v>
      </c>
      <c r="H80" s="393">
        <v>1</v>
      </c>
      <c r="I80" s="393"/>
      <c r="J80" s="393">
        <v>2</v>
      </c>
      <c r="K80" s="393">
        <v>2</v>
      </c>
      <c r="L80" s="393">
        <v>0</v>
      </c>
      <c r="M80" s="393">
        <v>1</v>
      </c>
      <c r="N80" s="393"/>
      <c r="O80" s="393">
        <v>0</v>
      </c>
      <c r="P80" s="376"/>
      <c r="Q80" s="493">
        <v>0</v>
      </c>
      <c r="R80" s="493">
        <v>0</v>
      </c>
      <c r="S80" s="498">
        <v>0</v>
      </c>
      <c r="T80" s="498">
        <v>0</v>
      </c>
      <c r="U80" s="498"/>
      <c r="V80" s="498"/>
      <c r="W80" s="498">
        <v>0</v>
      </c>
      <c r="X80" s="498"/>
      <c r="Y80" s="498">
        <v>0</v>
      </c>
      <c r="Z80" s="498"/>
      <c r="AA80" s="376"/>
      <c r="AB80" s="385">
        <v>7</v>
      </c>
      <c r="AC80" s="406"/>
      <c r="AD80" s="414">
        <v>3</v>
      </c>
      <c r="AE80" s="414">
        <v>2</v>
      </c>
      <c r="AF80" s="414">
        <v>3</v>
      </c>
      <c r="AG80" s="414">
        <v>3</v>
      </c>
      <c r="AH80" s="414">
        <v>3</v>
      </c>
      <c r="AI80" s="502">
        <v>16</v>
      </c>
      <c r="AJ80" s="406"/>
    </row>
    <row r="81" spans="1:38" ht="15.9" customHeight="1" x14ac:dyDescent="0.3">
      <c r="A81" s="335">
        <v>61</v>
      </c>
      <c r="B81" s="381">
        <v>1161</v>
      </c>
      <c r="C81" s="378" t="s">
        <v>658</v>
      </c>
      <c r="D81" s="519" t="s">
        <v>451</v>
      </c>
      <c r="E81" s="385"/>
      <c r="F81" s="509">
        <v>2</v>
      </c>
      <c r="G81" s="393">
        <v>2</v>
      </c>
      <c r="H81" s="393"/>
      <c r="I81" s="393"/>
      <c r="J81" s="393">
        <v>2</v>
      </c>
      <c r="K81" s="393">
        <v>2</v>
      </c>
      <c r="L81" s="393">
        <v>4</v>
      </c>
      <c r="M81" s="393">
        <v>3</v>
      </c>
      <c r="N81" s="393">
        <v>2</v>
      </c>
      <c r="O81" s="393"/>
      <c r="P81" s="382"/>
      <c r="Q81" s="493">
        <v>0</v>
      </c>
      <c r="R81" s="493">
        <v>1</v>
      </c>
      <c r="S81" s="498">
        <v>0</v>
      </c>
      <c r="T81" s="498"/>
      <c r="U81" s="498"/>
      <c r="V81" s="498">
        <v>1</v>
      </c>
      <c r="W81" s="498">
        <v>0</v>
      </c>
      <c r="X81" s="498">
        <v>0</v>
      </c>
      <c r="Y81" s="498"/>
      <c r="Z81" s="498"/>
      <c r="AA81" s="376"/>
      <c r="AB81" s="385">
        <v>6</v>
      </c>
      <c r="AC81" s="400"/>
      <c r="AD81" s="414">
        <v>5</v>
      </c>
      <c r="AE81" s="414">
        <v>4</v>
      </c>
      <c r="AF81" s="414">
        <v>5</v>
      </c>
      <c r="AG81" s="414">
        <v>4</v>
      </c>
      <c r="AH81" s="414">
        <v>5</v>
      </c>
      <c r="AI81" s="502">
        <v>31</v>
      </c>
      <c r="AJ81" s="400"/>
    </row>
    <row r="82" spans="1:38" ht="15.9" customHeight="1" x14ac:dyDescent="0.3">
      <c r="A82" s="335">
        <v>62</v>
      </c>
      <c r="B82" s="381">
        <v>1162</v>
      </c>
      <c r="C82" s="378" t="s">
        <v>659</v>
      </c>
      <c r="D82" s="519" t="s">
        <v>452</v>
      </c>
      <c r="E82" s="385"/>
      <c r="F82" s="509">
        <v>2</v>
      </c>
      <c r="G82" s="393">
        <v>2</v>
      </c>
      <c r="H82" s="393"/>
      <c r="I82" s="393"/>
      <c r="J82" s="393">
        <v>2</v>
      </c>
      <c r="K82" s="393">
        <v>2</v>
      </c>
      <c r="L82" s="393"/>
      <c r="M82" s="393">
        <v>4</v>
      </c>
      <c r="N82" s="393">
        <v>4</v>
      </c>
      <c r="O82" s="393">
        <v>4</v>
      </c>
      <c r="P82" s="385"/>
      <c r="Q82" s="493">
        <v>1</v>
      </c>
      <c r="R82" s="493">
        <v>0</v>
      </c>
      <c r="S82" s="498">
        <v>0</v>
      </c>
      <c r="T82" s="498"/>
      <c r="U82" s="498">
        <v>1</v>
      </c>
      <c r="V82" s="498"/>
      <c r="W82" s="498"/>
      <c r="X82" s="498"/>
      <c r="Y82" s="498"/>
      <c r="Z82" s="498"/>
      <c r="AA82" s="382"/>
      <c r="AB82" s="385">
        <v>6</v>
      </c>
      <c r="AC82" s="400"/>
      <c r="AD82" s="414">
        <v>3</v>
      </c>
      <c r="AE82" s="414">
        <v>3</v>
      </c>
      <c r="AF82" s="414">
        <v>5</v>
      </c>
      <c r="AG82" s="414">
        <v>4</v>
      </c>
      <c r="AH82" s="414">
        <v>5</v>
      </c>
      <c r="AI82" s="502">
        <v>29</v>
      </c>
      <c r="AJ82" s="400"/>
      <c r="AL82" s="409"/>
    </row>
    <row r="83" spans="1:38" ht="15.9" customHeight="1" x14ac:dyDescent="0.3">
      <c r="A83" s="335">
        <v>63</v>
      </c>
      <c r="B83" s="381">
        <v>1163</v>
      </c>
      <c r="C83" s="378" t="s">
        <v>660</v>
      </c>
      <c r="D83" s="519" t="s">
        <v>453</v>
      </c>
      <c r="E83" s="385"/>
      <c r="F83" s="509">
        <v>2</v>
      </c>
      <c r="G83" s="393">
        <v>1</v>
      </c>
      <c r="H83" s="393">
        <v>1</v>
      </c>
      <c r="I83" s="393">
        <v>2</v>
      </c>
      <c r="J83" s="393"/>
      <c r="K83" s="393"/>
      <c r="L83" s="393">
        <v>2</v>
      </c>
      <c r="M83" s="393"/>
      <c r="N83" s="393">
        <v>4</v>
      </c>
      <c r="O83" s="393">
        <v>4</v>
      </c>
      <c r="P83" s="385"/>
      <c r="Q83" s="493">
        <v>2</v>
      </c>
      <c r="R83" s="493">
        <v>0</v>
      </c>
      <c r="S83" s="498"/>
      <c r="T83" s="498"/>
      <c r="U83" s="498">
        <v>1</v>
      </c>
      <c r="V83" s="498">
        <v>1</v>
      </c>
      <c r="W83" s="498">
        <v>3</v>
      </c>
      <c r="X83" s="498">
        <v>1</v>
      </c>
      <c r="Y83" s="498">
        <v>0</v>
      </c>
      <c r="Z83" s="498"/>
      <c r="AA83" s="393"/>
      <c r="AB83" s="385">
        <v>6</v>
      </c>
      <c r="AC83" s="400"/>
      <c r="AD83" s="414">
        <v>5</v>
      </c>
      <c r="AE83" s="414">
        <v>3</v>
      </c>
      <c r="AF83" s="414">
        <v>5</v>
      </c>
      <c r="AG83" s="414">
        <v>4</v>
      </c>
      <c r="AH83" s="414">
        <v>5</v>
      </c>
      <c r="AI83" s="502">
        <v>32</v>
      </c>
      <c r="AJ83" s="400"/>
      <c r="AL83" s="409"/>
    </row>
    <row r="84" spans="1:38" ht="15.9" customHeight="1" x14ac:dyDescent="0.3">
      <c r="A84" s="335">
        <v>64</v>
      </c>
      <c r="B84" s="381">
        <v>1164</v>
      </c>
      <c r="C84" s="378" t="s">
        <v>661</v>
      </c>
      <c r="D84" s="519" t="s">
        <v>454</v>
      </c>
      <c r="E84" s="385"/>
      <c r="F84" s="509">
        <v>2</v>
      </c>
      <c r="G84" s="393"/>
      <c r="H84" s="393"/>
      <c r="I84" s="393"/>
      <c r="J84" s="393"/>
      <c r="K84" s="393"/>
      <c r="L84" s="393"/>
      <c r="M84" s="393"/>
      <c r="N84" s="393"/>
      <c r="O84" s="393">
        <v>4</v>
      </c>
      <c r="P84" s="385"/>
      <c r="Q84" s="493">
        <v>0</v>
      </c>
      <c r="R84" s="493"/>
      <c r="S84" s="498">
        <v>0</v>
      </c>
      <c r="T84" s="498"/>
      <c r="U84" s="498"/>
      <c r="V84" s="498"/>
      <c r="W84" s="498"/>
      <c r="X84" s="498"/>
      <c r="Y84" s="498"/>
      <c r="Z84" s="498"/>
      <c r="AA84" s="394"/>
      <c r="AB84" s="385">
        <v>9</v>
      </c>
      <c r="AC84" s="400"/>
      <c r="AD84" s="414">
        <v>3</v>
      </c>
      <c r="AE84" s="414">
        <v>2</v>
      </c>
      <c r="AF84" s="414">
        <v>2</v>
      </c>
      <c r="AG84" s="414">
        <v>3</v>
      </c>
      <c r="AH84" s="414">
        <v>2</v>
      </c>
      <c r="AI84" s="502">
        <v>16</v>
      </c>
      <c r="AJ84" s="400"/>
      <c r="AL84" s="409"/>
    </row>
    <row r="85" spans="1:38" ht="15.9" customHeight="1" x14ac:dyDescent="0.3">
      <c r="A85" s="335">
        <v>65</v>
      </c>
      <c r="B85" s="381">
        <v>1165</v>
      </c>
      <c r="C85" s="378" t="s">
        <v>662</v>
      </c>
      <c r="D85" s="519" t="s">
        <v>455</v>
      </c>
      <c r="E85" s="385"/>
      <c r="F85" s="509">
        <v>2</v>
      </c>
      <c r="G85" s="393"/>
      <c r="H85" s="393"/>
      <c r="I85" s="393">
        <v>2</v>
      </c>
      <c r="J85" s="393"/>
      <c r="K85" s="393"/>
      <c r="L85" s="393"/>
      <c r="M85" s="393"/>
      <c r="N85" s="393"/>
      <c r="O85" s="393">
        <v>4</v>
      </c>
      <c r="P85" s="411"/>
      <c r="Q85" s="493">
        <v>0</v>
      </c>
      <c r="R85" s="493"/>
      <c r="S85" s="498">
        <v>0</v>
      </c>
      <c r="T85" s="498">
        <v>0</v>
      </c>
      <c r="U85" s="498">
        <v>0</v>
      </c>
      <c r="V85" s="498"/>
      <c r="W85" s="498"/>
      <c r="X85" s="498"/>
      <c r="Y85" s="498"/>
      <c r="Z85" s="498"/>
      <c r="AA85" s="385"/>
      <c r="AB85" s="385">
        <v>8</v>
      </c>
      <c r="AC85" s="400"/>
      <c r="AD85" s="414">
        <v>3</v>
      </c>
      <c r="AE85" s="414">
        <v>3</v>
      </c>
      <c r="AF85" s="414">
        <v>5</v>
      </c>
      <c r="AG85" s="414">
        <v>4</v>
      </c>
      <c r="AH85" s="414">
        <v>5</v>
      </c>
      <c r="AI85" s="502">
        <v>16</v>
      </c>
      <c r="AJ85" s="400"/>
      <c r="AL85" s="409"/>
    </row>
    <row r="86" spans="1:38" ht="15.9" customHeight="1" x14ac:dyDescent="0.3">
      <c r="A86" s="412">
        <v>66</v>
      </c>
      <c r="B86" s="381">
        <v>1166</v>
      </c>
      <c r="C86" s="378" t="s">
        <v>663</v>
      </c>
      <c r="D86" s="519" t="s">
        <v>456</v>
      </c>
      <c r="E86" s="423"/>
      <c r="F86" s="509">
        <v>1</v>
      </c>
      <c r="G86" s="393">
        <v>2</v>
      </c>
      <c r="H86" s="393"/>
      <c r="I86" s="393">
        <v>0</v>
      </c>
      <c r="J86" s="393"/>
      <c r="K86" s="393">
        <v>2</v>
      </c>
      <c r="L86" s="393">
        <v>0</v>
      </c>
      <c r="M86" s="393">
        <v>1</v>
      </c>
      <c r="N86" s="393">
        <v>2</v>
      </c>
      <c r="O86" s="393"/>
      <c r="P86" s="337"/>
      <c r="Q86" s="493">
        <v>1</v>
      </c>
      <c r="R86" s="493"/>
      <c r="S86" s="498"/>
      <c r="T86" s="498">
        <v>0</v>
      </c>
      <c r="U86" s="498"/>
      <c r="V86" s="498">
        <v>0</v>
      </c>
      <c r="W86" s="498"/>
      <c r="X86" s="498"/>
      <c r="Y86" s="498"/>
      <c r="Z86" s="498"/>
      <c r="AA86" s="337"/>
      <c r="AB86" s="385">
        <v>7</v>
      </c>
      <c r="AC86" s="396"/>
      <c r="AD86" s="414">
        <v>5</v>
      </c>
      <c r="AE86" s="414">
        <v>4</v>
      </c>
      <c r="AF86" s="414">
        <v>5</v>
      </c>
      <c r="AG86" s="414">
        <v>4</v>
      </c>
      <c r="AH86" s="414">
        <v>5</v>
      </c>
      <c r="AI86" s="502">
        <v>33</v>
      </c>
      <c r="AJ86" s="396"/>
      <c r="AL86" s="409"/>
    </row>
    <row r="87" spans="1:38" ht="15.9" customHeight="1" x14ac:dyDescent="0.3">
      <c r="A87" s="412">
        <v>67</v>
      </c>
      <c r="B87" s="381">
        <v>1167</v>
      </c>
      <c r="C87" s="378" t="s">
        <v>664</v>
      </c>
      <c r="D87" s="519" t="s">
        <v>457</v>
      </c>
      <c r="E87" s="423"/>
      <c r="F87" s="516">
        <v>2</v>
      </c>
      <c r="G87" s="393">
        <v>2</v>
      </c>
      <c r="H87" s="393">
        <v>2</v>
      </c>
      <c r="I87" s="393">
        <v>2</v>
      </c>
      <c r="J87" s="393"/>
      <c r="K87" s="393">
        <v>2</v>
      </c>
      <c r="L87" s="393"/>
      <c r="M87" s="393">
        <v>2</v>
      </c>
      <c r="N87" s="393">
        <v>4</v>
      </c>
      <c r="O87" s="393">
        <v>2</v>
      </c>
      <c r="P87" s="395"/>
      <c r="Q87" s="493">
        <v>1</v>
      </c>
      <c r="R87" s="493">
        <v>2</v>
      </c>
      <c r="S87" s="498">
        <v>2</v>
      </c>
      <c r="T87" s="498"/>
      <c r="U87" s="498">
        <v>2</v>
      </c>
      <c r="V87" s="498">
        <v>2</v>
      </c>
      <c r="W87" s="498">
        <v>4</v>
      </c>
      <c r="X87" s="498">
        <v>4</v>
      </c>
      <c r="Y87" s="498">
        <v>4</v>
      </c>
      <c r="Z87" s="498">
        <v>2</v>
      </c>
      <c r="AA87" s="337"/>
      <c r="AB87" s="385">
        <v>9</v>
      </c>
      <c r="AC87" s="396"/>
      <c r="AD87" s="414">
        <v>3</v>
      </c>
      <c r="AE87" s="414">
        <v>4</v>
      </c>
      <c r="AF87" s="414">
        <v>5</v>
      </c>
      <c r="AG87" s="414">
        <v>3</v>
      </c>
      <c r="AH87" s="414">
        <v>5</v>
      </c>
      <c r="AI87" s="502">
        <v>62</v>
      </c>
      <c r="AJ87" s="396"/>
      <c r="AL87" s="410"/>
    </row>
    <row r="88" spans="1:38" ht="15.9" customHeight="1" x14ac:dyDescent="0.3">
      <c r="A88" s="412">
        <v>68</v>
      </c>
      <c r="B88" s="381">
        <v>1168</v>
      </c>
      <c r="C88" s="378" t="s">
        <v>665</v>
      </c>
      <c r="D88" s="519" t="s">
        <v>458</v>
      </c>
      <c r="E88" s="423"/>
      <c r="F88" s="509">
        <v>1</v>
      </c>
      <c r="G88" s="393">
        <v>2</v>
      </c>
      <c r="H88" s="393">
        <v>2</v>
      </c>
      <c r="I88" s="393">
        <v>2</v>
      </c>
      <c r="J88" s="393"/>
      <c r="K88" s="393">
        <v>2</v>
      </c>
      <c r="L88" s="393"/>
      <c r="M88" s="393">
        <v>4</v>
      </c>
      <c r="N88" s="393">
        <v>4</v>
      </c>
      <c r="O88" s="393">
        <v>2</v>
      </c>
      <c r="P88" s="337"/>
      <c r="Q88" s="493">
        <v>2</v>
      </c>
      <c r="R88" s="493">
        <v>2</v>
      </c>
      <c r="S88" s="498">
        <v>2</v>
      </c>
      <c r="T88" s="498">
        <v>1</v>
      </c>
      <c r="U88" s="498">
        <v>2</v>
      </c>
      <c r="V88" s="498">
        <v>2</v>
      </c>
      <c r="W88" s="498">
        <v>4</v>
      </c>
      <c r="X88" s="498">
        <v>3</v>
      </c>
      <c r="Y88" s="498">
        <v>4</v>
      </c>
      <c r="Z88" s="498">
        <v>4</v>
      </c>
      <c r="AA88" s="337"/>
      <c r="AB88" s="385">
        <v>9</v>
      </c>
      <c r="AC88" s="397"/>
      <c r="AD88" s="414">
        <v>4</v>
      </c>
      <c r="AE88" s="414">
        <v>4</v>
      </c>
      <c r="AF88" s="414">
        <v>4</v>
      </c>
      <c r="AG88" s="414">
        <v>4</v>
      </c>
      <c r="AH88" s="414">
        <v>5</v>
      </c>
      <c r="AI88" s="502">
        <v>68</v>
      </c>
      <c r="AJ88" s="397"/>
      <c r="AL88" s="409"/>
    </row>
    <row r="89" spans="1:38" ht="15.9" customHeight="1" x14ac:dyDescent="0.3">
      <c r="A89" s="412">
        <v>69</v>
      </c>
      <c r="B89" s="381">
        <v>1169</v>
      </c>
      <c r="C89" s="378" t="s">
        <v>666</v>
      </c>
      <c r="D89" s="519" t="s">
        <v>459</v>
      </c>
      <c r="E89" s="423"/>
      <c r="F89" s="509">
        <v>2</v>
      </c>
      <c r="G89" s="393">
        <v>2</v>
      </c>
      <c r="H89" s="393">
        <v>1</v>
      </c>
      <c r="I89" s="393">
        <v>2</v>
      </c>
      <c r="J89" s="393"/>
      <c r="K89" s="393">
        <v>1</v>
      </c>
      <c r="L89" s="393"/>
      <c r="M89" s="393">
        <v>1</v>
      </c>
      <c r="N89" s="393">
        <v>1</v>
      </c>
      <c r="O89" s="393">
        <v>2</v>
      </c>
      <c r="P89" s="398"/>
      <c r="Q89" s="493"/>
      <c r="R89" s="493">
        <v>2</v>
      </c>
      <c r="S89" s="498">
        <v>2</v>
      </c>
      <c r="T89" s="498"/>
      <c r="U89" s="498">
        <v>0</v>
      </c>
      <c r="V89" s="498">
        <v>2</v>
      </c>
      <c r="W89" s="498">
        <v>1</v>
      </c>
      <c r="X89" s="498"/>
      <c r="Y89" s="498">
        <v>4</v>
      </c>
      <c r="Z89" s="498">
        <v>2</v>
      </c>
      <c r="AA89" s="337"/>
      <c r="AB89" s="385">
        <v>6</v>
      </c>
      <c r="AC89" s="396"/>
      <c r="AD89" s="414">
        <v>4</v>
      </c>
      <c r="AE89" s="414">
        <v>2</v>
      </c>
      <c r="AF89" s="414">
        <v>4</v>
      </c>
      <c r="AG89" s="414">
        <v>3</v>
      </c>
      <c r="AH89" s="414">
        <v>5</v>
      </c>
      <c r="AI89" s="502">
        <v>29</v>
      </c>
      <c r="AJ89" s="396"/>
      <c r="AL89" s="409"/>
    </row>
    <row r="90" spans="1:38" ht="15.9" customHeight="1" x14ac:dyDescent="0.3">
      <c r="A90" s="412">
        <v>70</v>
      </c>
      <c r="B90" s="381">
        <v>1170</v>
      </c>
      <c r="C90" s="378" t="s">
        <v>667</v>
      </c>
      <c r="D90" s="519" t="s">
        <v>460</v>
      </c>
      <c r="E90" s="423"/>
      <c r="F90" s="509">
        <v>2</v>
      </c>
      <c r="G90" s="393">
        <v>2</v>
      </c>
      <c r="H90" s="393">
        <v>2</v>
      </c>
      <c r="I90" s="393">
        <v>2</v>
      </c>
      <c r="J90" s="393"/>
      <c r="K90" s="393">
        <v>2</v>
      </c>
      <c r="L90" s="393">
        <v>4</v>
      </c>
      <c r="M90" s="393">
        <v>3</v>
      </c>
      <c r="N90" s="393">
        <v>4</v>
      </c>
      <c r="O90" s="493"/>
      <c r="P90" s="399"/>
      <c r="Q90" s="493">
        <v>2</v>
      </c>
      <c r="R90" s="493">
        <v>2</v>
      </c>
      <c r="S90" s="498">
        <v>2</v>
      </c>
      <c r="T90" s="498">
        <v>2</v>
      </c>
      <c r="U90" s="498"/>
      <c r="V90" s="498">
        <v>2</v>
      </c>
      <c r="W90" s="498">
        <v>4</v>
      </c>
      <c r="X90" s="498"/>
      <c r="Y90" s="498">
        <v>4</v>
      </c>
      <c r="Z90" s="498">
        <v>4</v>
      </c>
      <c r="AA90" s="337"/>
      <c r="AB90" s="393">
        <v>10</v>
      </c>
      <c r="AC90" s="397"/>
      <c r="AD90" s="414">
        <v>4</v>
      </c>
      <c r="AE90" s="414">
        <v>4</v>
      </c>
      <c r="AF90" s="414">
        <v>4</v>
      </c>
      <c r="AG90" s="414">
        <v>4</v>
      </c>
      <c r="AH90" s="414">
        <v>4</v>
      </c>
      <c r="AI90" s="502">
        <v>69</v>
      </c>
      <c r="AJ90" s="397"/>
    </row>
    <row r="91" spans="1:38" ht="15.9" customHeight="1" x14ac:dyDescent="0.3">
      <c r="A91" s="412">
        <v>71</v>
      </c>
      <c r="B91" s="381">
        <v>1171</v>
      </c>
      <c r="C91" s="378" t="s">
        <v>668</v>
      </c>
      <c r="D91" s="519" t="s">
        <v>461</v>
      </c>
      <c r="E91" s="423"/>
      <c r="F91" s="509">
        <v>2</v>
      </c>
      <c r="G91" s="493">
        <v>1</v>
      </c>
      <c r="H91" s="493">
        <v>2</v>
      </c>
      <c r="I91" s="493">
        <v>2</v>
      </c>
      <c r="J91" s="493">
        <v>2</v>
      </c>
      <c r="K91" s="493"/>
      <c r="L91" s="493">
        <v>1</v>
      </c>
      <c r="M91" s="493"/>
      <c r="N91" s="493">
        <v>1</v>
      </c>
      <c r="O91" s="493"/>
      <c r="P91" s="399"/>
      <c r="Q91" s="493">
        <v>0</v>
      </c>
      <c r="R91" s="493">
        <v>0</v>
      </c>
      <c r="S91" s="498"/>
      <c r="T91" s="498">
        <v>0</v>
      </c>
      <c r="U91" s="498">
        <v>0</v>
      </c>
      <c r="V91" s="498">
        <v>1</v>
      </c>
      <c r="W91" s="498"/>
      <c r="X91" s="498">
        <v>0</v>
      </c>
      <c r="Y91" s="498">
        <v>4</v>
      </c>
      <c r="Z91" s="498"/>
      <c r="AA91" s="337"/>
      <c r="AB91" s="393">
        <v>6</v>
      </c>
      <c r="AC91" s="396"/>
      <c r="AD91" s="414">
        <v>3</v>
      </c>
      <c r="AE91" s="414">
        <v>3</v>
      </c>
      <c r="AF91" s="414">
        <v>5</v>
      </c>
      <c r="AG91" s="414">
        <v>4</v>
      </c>
      <c r="AH91" s="414">
        <v>5</v>
      </c>
      <c r="AI91" s="502">
        <v>30</v>
      </c>
      <c r="AJ91" s="396"/>
    </row>
    <row r="92" spans="1:38" ht="15.9" customHeight="1" x14ac:dyDescent="0.3">
      <c r="A92" s="412">
        <v>72</v>
      </c>
      <c r="B92" s="381">
        <v>1172</v>
      </c>
      <c r="C92" s="378" t="s">
        <v>669</v>
      </c>
      <c r="D92" s="519" t="s">
        <v>462</v>
      </c>
      <c r="E92" s="423"/>
      <c r="F92" s="508">
        <v>2</v>
      </c>
      <c r="G92" s="493">
        <v>2</v>
      </c>
      <c r="H92" s="493">
        <v>1</v>
      </c>
      <c r="I92" s="493">
        <v>0</v>
      </c>
      <c r="J92" s="493">
        <v>0</v>
      </c>
      <c r="K92" s="493">
        <v>2</v>
      </c>
      <c r="L92" s="493"/>
      <c r="M92" s="493">
        <v>0</v>
      </c>
      <c r="N92" s="493"/>
      <c r="O92" s="493">
        <v>0</v>
      </c>
      <c r="P92" s="399"/>
      <c r="Q92" s="493">
        <v>2</v>
      </c>
      <c r="R92" s="493">
        <v>2</v>
      </c>
      <c r="S92" s="498">
        <v>2</v>
      </c>
      <c r="T92" s="498"/>
      <c r="U92" s="498">
        <v>0</v>
      </c>
      <c r="V92" s="498"/>
      <c r="W92" s="498">
        <v>2</v>
      </c>
      <c r="X92" s="498">
        <v>4</v>
      </c>
      <c r="Y92" s="498">
        <v>0</v>
      </c>
      <c r="Z92" s="498">
        <v>4</v>
      </c>
      <c r="AA92" s="399"/>
      <c r="AB92" s="393">
        <v>8</v>
      </c>
      <c r="AC92" s="397"/>
      <c r="AD92" s="414">
        <v>3</v>
      </c>
      <c r="AE92" s="414">
        <v>2</v>
      </c>
      <c r="AF92" s="414">
        <v>4</v>
      </c>
      <c r="AG92" s="414">
        <v>4</v>
      </c>
      <c r="AH92" s="414">
        <v>3</v>
      </c>
      <c r="AI92" s="502">
        <v>30</v>
      </c>
      <c r="AJ92" s="397"/>
    </row>
    <row r="93" spans="1:38" ht="15.9" customHeight="1" x14ac:dyDescent="0.3">
      <c r="A93" s="412">
        <v>73</v>
      </c>
      <c r="B93" s="381">
        <v>1173</v>
      </c>
      <c r="C93" s="378" t="s">
        <v>670</v>
      </c>
      <c r="D93" s="519" t="s">
        <v>463</v>
      </c>
      <c r="E93" s="423"/>
      <c r="F93" s="508">
        <v>2</v>
      </c>
      <c r="G93" s="493">
        <v>2</v>
      </c>
      <c r="H93" s="493"/>
      <c r="I93" s="493">
        <v>0</v>
      </c>
      <c r="J93" s="493">
        <v>2</v>
      </c>
      <c r="K93" s="493">
        <v>2</v>
      </c>
      <c r="L93" s="493">
        <v>4</v>
      </c>
      <c r="M93" s="493">
        <v>4</v>
      </c>
      <c r="N93" s="493">
        <v>2</v>
      </c>
      <c r="O93" s="493"/>
      <c r="P93" s="399"/>
      <c r="Q93" s="493">
        <v>2</v>
      </c>
      <c r="R93" s="493">
        <v>2</v>
      </c>
      <c r="S93" s="498">
        <v>1</v>
      </c>
      <c r="T93" s="498">
        <v>0</v>
      </c>
      <c r="U93" s="498">
        <v>1</v>
      </c>
      <c r="V93" s="498"/>
      <c r="W93" s="498">
        <v>4</v>
      </c>
      <c r="X93" s="498">
        <v>0</v>
      </c>
      <c r="Y93" s="498">
        <v>1</v>
      </c>
      <c r="Z93" s="498">
        <v>2</v>
      </c>
      <c r="AA93" s="395"/>
      <c r="AB93" s="393">
        <v>9</v>
      </c>
      <c r="AC93" s="396"/>
      <c r="AD93" s="414">
        <v>4</v>
      </c>
      <c r="AE93" s="414">
        <v>4</v>
      </c>
      <c r="AF93" s="414">
        <v>4</v>
      </c>
      <c r="AG93" s="414">
        <v>4</v>
      </c>
      <c r="AH93" s="414">
        <v>4</v>
      </c>
      <c r="AI93" s="502">
        <v>45</v>
      </c>
      <c r="AJ93" s="396"/>
    </row>
    <row r="94" spans="1:38" ht="15.9" customHeight="1" x14ac:dyDescent="0.3">
      <c r="A94" s="412">
        <v>74</v>
      </c>
      <c r="B94" s="381">
        <v>1174</v>
      </c>
      <c r="C94" s="378" t="s">
        <v>671</v>
      </c>
      <c r="D94" s="519" t="s">
        <v>464</v>
      </c>
      <c r="E94" s="423"/>
      <c r="F94" s="508">
        <v>2</v>
      </c>
      <c r="G94" s="493"/>
      <c r="H94" s="493"/>
      <c r="I94" s="493">
        <v>2</v>
      </c>
      <c r="J94" s="493"/>
      <c r="K94" s="493"/>
      <c r="L94" s="493">
        <v>1</v>
      </c>
      <c r="M94" s="493"/>
      <c r="N94" s="493"/>
      <c r="O94" s="493">
        <v>0</v>
      </c>
      <c r="P94" s="398"/>
      <c r="Q94" s="493">
        <v>2</v>
      </c>
      <c r="R94" s="493">
        <v>0</v>
      </c>
      <c r="S94" s="498"/>
      <c r="T94" s="498"/>
      <c r="U94" s="498"/>
      <c r="V94" s="498">
        <v>1</v>
      </c>
      <c r="W94" s="498"/>
      <c r="X94" s="498"/>
      <c r="Y94" s="498">
        <v>2</v>
      </c>
      <c r="Z94" s="498">
        <v>0</v>
      </c>
      <c r="AA94" s="395"/>
      <c r="AB94" s="393">
        <v>7</v>
      </c>
      <c r="AC94" s="396"/>
      <c r="AD94" s="414">
        <v>5</v>
      </c>
      <c r="AE94" s="414">
        <v>4</v>
      </c>
      <c r="AF94" s="414">
        <v>5</v>
      </c>
      <c r="AG94" s="414">
        <v>5</v>
      </c>
      <c r="AH94" s="414">
        <v>5</v>
      </c>
      <c r="AI94" s="502">
        <v>14</v>
      </c>
      <c r="AJ94" s="396"/>
    </row>
    <row r="95" spans="1:38" ht="15.9" customHeight="1" x14ac:dyDescent="0.3">
      <c r="A95" s="412">
        <v>75</v>
      </c>
      <c r="B95" s="381">
        <v>1175</v>
      </c>
      <c r="C95" s="378" t="s">
        <v>672</v>
      </c>
      <c r="D95" s="519" t="s">
        <v>465</v>
      </c>
      <c r="E95" s="423"/>
      <c r="F95" s="508">
        <v>2</v>
      </c>
      <c r="G95" s="493">
        <v>2</v>
      </c>
      <c r="H95" s="493">
        <v>2</v>
      </c>
      <c r="I95" s="493">
        <v>0</v>
      </c>
      <c r="J95" s="493">
        <v>2</v>
      </c>
      <c r="K95" s="493"/>
      <c r="L95" s="493">
        <v>1</v>
      </c>
      <c r="M95" s="493">
        <v>4</v>
      </c>
      <c r="N95" s="493">
        <v>0</v>
      </c>
      <c r="O95" s="493"/>
      <c r="P95" s="399"/>
      <c r="Q95" s="493">
        <v>2</v>
      </c>
      <c r="R95" s="493">
        <v>2</v>
      </c>
      <c r="S95" s="498">
        <v>1</v>
      </c>
      <c r="T95" s="498">
        <v>0</v>
      </c>
      <c r="U95" s="498"/>
      <c r="V95" s="498">
        <v>1</v>
      </c>
      <c r="W95" s="498">
        <v>4</v>
      </c>
      <c r="X95" s="498">
        <v>4</v>
      </c>
      <c r="Y95" s="498">
        <v>2</v>
      </c>
      <c r="Z95" s="498"/>
      <c r="AA95" s="337"/>
      <c r="AB95" s="393">
        <v>7</v>
      </c>
      <c r="AC95" s="396"/>
      <c r="AD95" s="414">
        <v>5</v>
      </c>
      <c r="AE95" s="414">
        <v>5</v>
      </c>
      <c r="AF95" s="414">
        <v>5</v>
      </c>
      <c r="AG95" s="414">
        <v>5</v>
      </c>
      <c r="AH95" s="414">
        <v>5</v>
      </c>
      <c r="AI95" s="502">
        <v>39</v>
      </c>
      <c r="AJ95" s="396"/>
    </row>
    <row r="96" spans="1:38" ht="15.9" customHeight="1" x14ac:dyDescent="0.3">
      <c r="A96" s="412">
        <v>76</v>
      </c>
      <c r="B96" s="381">
        <v>1176</v>
      </c>
      <c r="C96" s="378" t="s">
        <v>673</v>
      </c>
      <c r="D96" s="519" t="s">
        <v>466</v>
      </c>
      <c r="E96" s="423"/>
      <c r="F96" s="508">
        <v>2</v>
      </c>
      <c r="G96" s="493">
        <v>2</v>
      </c>
      <c r="H96" s="493"/>
      <c r="I96" s="493"/>
      <c r="J96" s="493">
        <v>2</v>
      </c>
      <c r="K96" s="493">
        <v>2</v>
      </c>
      <c r="L96" s="493">
        <v>4</v>
      </c>
      <c r="M96" s="493">
        <v>1</v>
      </c>
      <c r="N96" s="493">
        <v>1</v>
      </c>
      <c r="O96" s="493"/>
      <c r="P96" s="399"/>
      <c r="Q96" s="493">
        <v>0</v>
      </c>
      <c r="R96" s="493">
        <v>0</v>
      </c>
      <c r="S96" s="498">
        <v>2</v>
      </c>
      <c r="T96" s="498"/>
      <c r="U96" s="498">
        <v>2</v>
      </c>
      <c r="V96" s="498"/>
      <c r="W96" s="498"/>
      <c r="X96" s="498"/>
      <c r="Y96" s="498">
        <v>0</v>
      </c>
      <c r="Z96" s="498">
        <v>2</v>
      </c>
      <c r="AA96" s="337"/>
      <c r="AB96" s="393">
        <v>7</v>
      </c>
      <c r="AC96" s="396"/>
      <c r="AD96" s="414">
        <v>5</v>
      </c>
      <c r="AE96" s="414">
        <v>4</v>
      </c>
      <c r="AF96" s="414">
        <v>2</v>
      </c>
      <c r="AG96" s="414">
        <v>2</v>
      </c>
      <c r="AH96" s="414">
        <v>2</v>
      </c>
      <c r="AI96" s="502">
        <v>30</v>
      </c>
      <c r="AJ96" s="396"/>
    </row>
    <row r="97" spans="1:36" ht="15.9" customHeight="1" x14ac:dyDescent="0.3">
      <c r="A97" s="412">
        <v>77</v>
      </c>
      <c r="B97" s="381">
        <v>1177</v>
      </c>
      <c r="C97" s="378" t="s">
        <v>674</v>
      </c>
      <c r="D97" s="519" t="s">
        <v>467</v>
      </c>
      <c r="E97" s="423"/>
      <c r="F97" s="508">
        <v>2</v>
      </c>
      <c r="G97" s="493">
        <v>2</v>
      </c>
      <c r="H97" s="493"/>
      <c r="I97" s="493"/>
      <c r="J97" s="493"/>
      <c r="K97" s="493">
        <v>2</v>
      </c>
      <c r="L97" s="493"/>
      <c r="M97" s="493"/>
      <c r="N97" s="493">
        <v>0</v>
      </c>
      <c r="O97" s="493">
        <v>4</v>
      </c>
      <c r="P97" s="398"/>
      <c r="Q97" s="493"/>
      <c r="R97" s="493"/>
      <c r="S97" s="498">
        <v>2</v>
      </c>
      <c r="T97" s="498">
        <v>0</v>
      </c>
      <c r="U97" s="498">
        <v>1</v>
      </c>
      <c r="V97" s="498"/>
      <c r="W97" s="498"/>
      <c r="X97" s="498"/>
      <c r="Y97" s="498">
        <v>4</v>
      </c>
      <c r="Z97" s="498">
        <v>1</v>
      </c>
      <c r="AA97" s="395"/>
      <c r="AB97" s="393">
        <v>7</v>
      </c>
      <c r="AC97" s="396"/>
      <c r="AD97" s="414">
        <v>4</v>
      </c>
      <c r="AE97" s="414">
        <v>3</v>
      </c>
      <c r="AF97" s="414">
        <v>4</v>
      </c>
      <c r="AG97" s="414">
        <v>3</v>
      </c>
      <c r="AH97" s="414">
        <v>5</v>
      </c>
      <c r="AI97" s="502">
        <v>21</v>
      </c>
      <c r="AJ97" s="396"/>
    </row>
    <row r="98" spans="1:36" ht="15.9" customHeight="1" x14ac:dyDescent="0.3">
      <c r="A98" s="412">
        <v>78</v>
      </c>
      <c r="B98" s="381">
        <v>1178</v>
      </c>
      <c r="C98" s="378" t="s">
        <v>675</v>
      </c>
      <c r="D98" s="519" t="s">
        <v>468</v>
      </c>
      <c r="E98" s="423"/>
      <c r="F98" s="508">
        <v>2</v>
      </c>
      <c r="G98" s="493">
        <v>2</v>
      </c>
      <c r="H98" s="493">
        <v>2</v>
      </c>
      <c r="I98" s="493">
        <v>2</v>
      </c>
      <c r="J98" s="493">
        <v>0</v>
      </c>
      <c r="K98" s="493"/>
      <c r="L98" s="493">
        <v>0</v>
      </c>
      <c r="M98" s="493">
        <v>0</v>
      </c>
      <c r="N98" s="493">
        <v>0</v>
      </c>
      <c r="O98" s="493">
        <v>4</v>
      </c>
      <c r="P98" s="399"/>
      <c r="Q98" s="493"/>
      <c r="R98" s="493">
        <v>2</v>
      </c>
      <c r="S98" s="498">
        <v>2</v>
      </c>
      <c r="T98" s="498"/>
      <c r="U98" s="498">
        <v>2</v>
      </c>
      <c r="V98" s="498">
        <v>2</v>
      </c>
      <c r="W98" s="498">
        <v>1</v>
      </c>
      <c r="X98" s="498"/>
      <c r="Y98" s="498">
        <v>4</v>
      </c>
      <c r="Z98" s="498"/>
      <c r="AA98" s="337"/>
      <c r="AB98" s="393">
        <v>7</v>
      </c>
      <c r="AC98" s="396"/>
      <c r="AD98" s="414">
        <v>5</v>
      </c>
      <c r="AE98" s="414">
        <v>4</v>
      </c>
      <c r="AF98" s="414">
        <v>4</v>
      </c>
      <c r="AG98" s="414">
        <v>5</v>
      </c>
      <c r="AH98" s="414">
        <v>4</v>
      </c>
      <c r="AI98" s="502">
        <v>31</v>
      </c>
      <c r="AJ98" s="396"/>
    </row>
    <row r="99" spans="1:36" ht="15.9" customHeight="1" x14ac:dyDescent="0.3">
      <c r="A99" s="412">
        <v>79</v>
      </c>
      <c r="B99" s="381">
        <v>1179</v>
      </c>
      <c r="C99" s="378" t="s">
        <v>676</v>
      </c>
      <c r="D99" s="519" t="s">
        <v>469</v>
      </c>
      <c r="E99" s="423"/>
      <c r="F99" s="508">
        <v>2</v>
      </c>
      <c r="G99" s="493">
        <v>2</v>
      </c>
      <c r="H99" s="493">
        <v>2</v>
      </c>
      <c r="I99" s="493">
        <v>2</v>
      </c>
      <c r="J99" s="493">
        <v>2</v>
      </c>
      <c r="K99" s="493">
        <v>2</v>
      </c>
      <c r="L99" s="493">
        <v>1</v>
      </c>
      <c r="M99" s="493">
        <v>4</v>
      </c>
      <c r="N99" s="493"/>
      <c r="O99" s="493"/>
      <c r="P99" s="399"/>
      <c r="Q99" s="493"/>
      <c r="R99" s="493">
        <v>2</v>
      </c>
      <c r="S99" s="498">
        <v>2</v>
      </c>
      <c r="T99" s="498"/>
      <c r="U99" s="498">
        <v>2</v>
      </c>
      <c r="V99" s="498">
        <v>2</v>
      </c>
      <c r="W99" s="498">
        <v>4</v>
      </c>
      <c r="X99" s="498"/>
      <c r="Y99" s="498">
        <v>4</v>
      </c>
      <c r="Z99" s="498"/>
      <c r="AA99" s="337"/>
      <c r="AB99" s="393">
        <v>10</v>
      </c>
      <c r="AC99" s="396"/>
      <c r="AD99" s="414">
        <v>3</v>
      </c>
      <c r="AE99" s="414">
        <v>3</v>
      </c>
      <c r="AF99" s="414">
        <v>3</v>
      </c>
      <c r="AG99" s="414">
        <v>3</v>
      </c>
      <c r="AH99" s="414">
        <v>3</v>
      </c>
      <c r="AI99" s="502">
        <v>58</v>
      </c>
      <c r="AJ99" s="396"/>
    </row>
    <row r="100" spans="1:36" ht="15.9" customHeight="1" x14ac:dyDescent="0.3">
      <c r="A100" s="412">
        <v>80</v>
      </c>
      <c r="B100" s="381">
        <v>1180</v>
      </c>
      <c r="C100" s="378" t="s">
        <v>677</v>
      </c>
      <c r="D100" s="519" t="s">
        <v>470</v>
      </c>
      <c r="E100" s="423"/>
      <c r="F100" s="508">
        <v>2</v>
      </c>
      <c r="G100" s="493">
        <v>2</v>
      </c>
      <c r="H100" s="493">
        <v>0</v>
      </c>
      <c r="I100" s="493">
        <v>0</v>
      </c>
      <c r="J100" s="493"/>
      <c r="K100" s="493"/>
      <c r="L100" s="493"/>
      <c r="M100" s="493"/>
      <c r="N100" s="493"/>
      <c r="O100" s="493">
        <v>4</v>
      </c>
      <c r="P100" s="398"/>
      <c r="Q100" s="493">
        <v>0</v>
      </c>
      <c r="R100" s="493"/>
      <c r="S100" s="498">
        <v>1</v>
      </c>
      <c r="T100" s="498">
        <v>0</v>
      </c>
      <c r="U100" s="498"/>
      <c r="V100" s="498"/>
      <c r="W100" s="498"/>
      <c r="X100" s="498"/>
      <c r="Y100" s="498">
        <v>2</v>
      </c>
      <c r="Z100" s="498">
        <v>0</v>
      </c>
      <c r="AA100" s="395"/>
      <c r="AB100" s="393">
        <v>6</v>
      </c>
      <c r="AC100" s="396"/>
      <c r="AD100" s="414">
        <v>4</v>
      </c>
      <c r="AE100" s="414">
        <v>3</v>
      </c>
      <c r="AF100" s="414">
        <v>3</v>
      </c>
      <c r="AG100" s="414">
        <v>3</v>
      </c>
      <c r="AH100" s="414">
        <v>4</v>
      </c>
      <c r="AI100" s="502">
        <v>14</v>
      </c>
      <c r="AJ100" s="396"/>
    </row>
    <row r="101" spans="1:36" ht="15.9" customHeight="1" x14ac:dyDescent="0.3">
      <c r="A101" s="412">
        <v>81</v>
      </c>
      <c r="B101" s="381">
        <v>1181</v>
      </c>
      <c r="C101" s="378" t="s">
        <v>678</v>
      </c>
      <c r="D101" s="519" t="s">
        <v>471</v>
      </c>
      <c r="E101" s="423"/>
      <c r="F101" s="508">
        <v>1</v>
      </c>
      <c r="G101" s="493"/>
      <c r="H101" s="493">
        <v>0</v>
      </c>
      <c r="I101" s="493"/>
      <c r="J101" s="493">
        <v>2</v>
      </c>
      <c r="K101" s="493"/>
      <c r="L101" s="493"/>
      <c r="M101" s="493"/>
      <c r="N101" s="493"/>
      <c r="O101" s="493">
        <v>1</v>
      </c>
      <c r="P101" s="398"/>
      <c r="Q101" s="493">
        <v>0</v>
      </c>
      <c r="R101" s="493"/>
      <c r="S101" s="498">
        <v>1</v>
      </c>
      <c r="T101" s="498"/>
      <c r="U101" s="498"/>
      <c r="V101" s="498">
        <v>0</v>
      </c>
      <c r="W101" s="498">
        <v>0</v>
      </c>
      <c r="X101" s="498"/>
      <c r="Y101" s="498">
        <v>4</v>
      </c>
      <c r="Z101" s="498"/>
      <c r="AA101" s="395"/>
      <c r="AB101" s="393">
        <v>7</v>
      </c>
      <c r="AC101" s="396"/>
      <c r="AD101" s="414">
        <v>5</v>
      </c>
      <c r="AE101" s="414">
        <v>4</v>
      </c>
      <c r="AF101" s="414">
        <v>5</v>
      </c>
      <c r="AG101" s="414">
        <v>4</v>
      </c>
      <c r="AH101" s="414">
        <v>5</v>
      </c>
      <c r="AI101" s="502">
        <v>16</v>
      </c>
      <c r="AJ101" s="396"/>
    </row>
    <row r="102" spans="1:36" ht="15.9" customHeight="1" x14ac:dyDescent="0.3">
      <c r="A102" s="412">
        <v>82</v>
      </c>
      <c r="B102" s="381">
        <v>1182</v>
      </c>
      <c r="C102" s="378" t="s">
        <v>679</v>
      </c>
      <c r="D102" s="519" t="s">
        <v>472</v>
      </c>
      <c r="E102" s="423"/>
      <c r="F102" s="508">
        <v>2</v>
      </c>
      <c r="G102" s="493">
        <v>1</v>
      </c>
      <c r="H102" s="493">
        <v>2</v>
      </c>
      <c r="I102" s="493"/>
      <c r="J102" s="493"/>
      <c r="K102" s="493">
        <v>2</v>
      </c>
      <c r="L102" s="493">
        <v>0</v>
      </c>
      <c r="M102" s="493">
        <v>0</v>
      </c>
      <c r="N102" s="493">
        <v>0</v>
      </c>
      <c r="O102" s="493"/>
      <c r="P102" s="399"/>
      <c r="Q102" s="493">
        <v>0</v>
      </c>
      <c r="R102" s="493"/>
      <c r="S102" s="498"/>
      <c r="T102" s="498"/>
      <c r="U102" s="498"/>
      <c r="V102" s="498"/>
      <c r="W102" s="498">
        <v>0</v>
      </c>
      <c r="X102" s="498">
        <v>0</v>
      </c>
      <c r="Y102" s="498"/>
      <c r="Z102" s="498"/>
      <c r="AA102" s="337"/>
      <c r="AB102" s="393">
        <v>6</v>
      </c>
      <c r="AC102" s="396"/>
      <c r="AD102" s="414">
        <v>4</v>
      </c>
      <c r="AE102" s="414">
        <v>3</v>
      </c>
      <c r="AF102" s="414">
        <v>5</v>
      </c>
      <c r="AG102" s="414">
        <v>4</v>
      </c>
      <c r="AH102" s="414">
        <v>5</v>
      </c>
      <c r="AI102" s="502">
        <v>22</v>
      </c>
      <c r="AJ102" s="396"/>
    </row>
    <row r="103" spans="1:36" ht="15.9" customHeight="1" x14ac:dyDescent="0.3">
      <c r="A103" s="412">
        <v>83</v>
      </c>
      <c r="B103" s="381">
        <v>1183</v>
      </c>
      <c r="C103" s="378" t="s">
        <v>680</v>
      </c>
      <c r="D103" s="519" t="s">
        <v>473</v>
      </c>
      <c r="E103" s="423"/>
      <c r="F103" s="508">
        <v>1</v>
      </c>
      <c r="G103" s="493">
        <v>2</v>
      </c>
      <c r="H103" s="493">
        <v>0</v>
      </c>
      <c r="I103" s="493">
        <v>0</v>
      </c>
      <c r="J103" s="493"/>
      <c r="K103" s="493"/>
      <c r="L103" s="493">
        <v>0</v>
      </c>
      <c r="M103" s="493">
        <v>0</v>
      </c>
      <c r="N103" s="493"/>
      <c r="O103" s="493">
        <v>0</v>
      </c>
      <c r="P103" s="398"/>
      <c r="Q103" s="493">
        <v>0</v>
      </c>
      <c r="R103" s="493">
        <v>1</v>
      </c>
      <c r="S103" s="498"/>
      <c r="T103" s="498"/>
      <c r="U103" s="498"/>
      <c r="V103" s="498"/>
      <c r="W103" s="498"/>
      <c r="X103" s="498">
        <v>0</v>
      </c>
      <c r="Y103" s="498"/>
      <c r="Z103" s="498"/>
      <c r="AA103" s="337"/>
      <c r="AB103" s="393">
        <v>10</v>
      </c>
      <c r="AC103" s="397"/>
      <c r="AD103" s="414">
        <v>5</v>
      </c>
      <c r="AE103" s="414">
        <v>5</v>
      </c>
      <c r="AF103" s="414">
        <v>5</v>
      </c>
      <c r="AG103" s="414">
        <v>5</v>
      </c>
      <c r="AH103" s="414">
        <v>5</v>
      </c>
      <c r="AI103" s="502">
        <v>14</v>
      </c>
      <c r="AJ103" s="397"/>
    </row>
    <row r="104" spans="1:36" ht="15.9" customHeight="1" x14ac:dyDescent="0.3">
      <c r="A104" s="412">
        <v>84</v>
      </c>
      <c r="B104" s="381">
        <v>1184</v>
      </c>
      <c r="C104" s="378" t="s">
        <v>681</v>
      </c>
      <c r="D104" s="519" t="s">
        <v>474</v>
      </c>
      <c r="E104" s="423"/>
      <c r="F104" s="508">
        <v>2</v>
      </c>
      <c r="G104" s="493">
        <v>2</v>
      </c>
      <c r="H104" s="493">
        <v>2</v>
      </c>
      <c r="I104" s="493">
        <v>2</v>
      </c>
      <c r="J104" s="493">
        <v>2</v>
      </c>
      <c r="K104" s="493">
        <v>2</v>
      </c>
      <c r="L104" s="493">
        <v>4</v>
      </c>
      <c r="M104" s="493">
        <v>4</v>
      </c>
      <c r="N104" s="493">
        <v>3</v>
      </c>
      <c r="O104" s="493">
        <v>4</v>
      </c>
      <c r="P104" s="399"/>
      <c r="Q104" s="493">
        <v>2</v>
      </c>
      <c r="R104" s="493">
        <v>2</v>
      </c>
      <c r="S104" s="498">
        <v>2</v>
      </c>
      <c r="T104" s="498">
        <v>1</v>
      </c>
      <c r="U104" s="498">
        <v>2</v>
      </c>
      <c r="V104" s="498">
        <v>2</v>
      </c>
      <c r="W104" s="498">
        <v>4</v>
      </c>
      <c r="X104" s="498">
        <v>4</v>
      </c>
      <c r="Y104" s="498">
        <v>4</v>
      </c>
      <c r="Z104" s="498">
        <v>4</v>
      </c>
      <c r="AA104" s="337"/>
      <c r="AB104" s="393">
        <v>10</v>
      </c>
      <c r="AC104" s="396"/>
      <c r="AD104" s="414">
        <v>3</v>
      </c>
      <c r="AE104" s="414">
        <v>4</v>
      </c>
      <c r="AF104" s="414">
        <v>3</v>
      </c>
      <c r="AG104" s="414">
        <v>4</v>
      </c>
      <c r="AH104" s="414">
        <v>3</v>
      </c>
      <c r="AI104" s="502">
        <v>64</v>
      </c>
      <c r="AJ104" s="396"/>
    </row>
    <row r="105" spans="1:36" ht="15.9" customHeight="1" x14ac:dyDescent="0.3">
      <c r="A105" s="412">
        <v>85</v>
      </c>
      <c r="B105" s="381">
        <v>1185</v>
      </c>
      <c r="C105" s="378" t="s">
        <v>682</v>
      </c>
      <c r="D105" s="519" t="s">
        <v>475</v>
      </c>
      <c r="E105" s="423"/>
      <c r="F105" s="508">
        <v>2</v>
      </c>
      <c r="G105" s="493">
        <v>1</v>
      </c>
      <c r="H105" s="493"/>
      <c r="I105" s="493"/>
      <c r="J105" s="493">
        <v>0</v>
      </c>
      <c r="K105" s="493"/>
      <c r="L105" s="493">
        <v>2</v>
      </c>
      <c r="M105" s="493"/>
      <c r="N105" s="493">
        <v>2</v>
      </c>
      <c r="O105" s="493"/>
      <c r="P105" s="399"/>
      <c r="Q105" s="493"/>
      <c r="R105" s="493">
        <v>0</v>
      </c>
      <c r="S105" s="498"/>
      <c r="T105" s="498">
        <v>0</v>
      </c>
      <c r="U105" s="498">
        <v>0</v>
      </c>
      <c r="V105" s="498">
        <v>0</v>
      </c>
      <c r="W105" s="498">
        <v>4</v>
      </c>
      <c r="X105" s="498">
        <v>0</v>
      </c>
      <c r="Y105" s="498">
        <v>0</v>
      </c>
      <c r="Z105" s="498">
        <v>0</v>
      </c>
      <c r="AA105" s="395"/>
      <c r="AB105" s="393">
        <v>8</v>
      </c>
      <c r="AC105" s="397"/>
      <c r="AD105" s="414">
        <v>3</v>
      </c>
      <c r="AE105" s="414">
        <v>2</v>
      </c>
      <c r="AF105" s="414">
        <v>3</v>
      </c>
      <c r="AG105" s="414">
        <v>2</v>
      </c>
      <c r="AH105" s="414">
        <v>3</v>
      </c>
      <c r="AI105" s="502">
        <v>17</v>
      </c>
      <c r="AJ105" s="397"/>
    </row>
    <row r="106" spans="1:36" ht="15.9" customHeight="1" x14ac:dyDescent="0.3">
      <c r="A106" s="412">
        <v>86</v>
      </c>
      <c r="B106" s="381">
        <v>1186</v>
      </c>
      <c r="C106" s="378" t="s">
        <v>683</v>
      </c>
      <c r="D106" s="519" t="s">
        <v>476</v>
      </c>
      <c r="E106" s="423"/>
      <c r="F106" s="508">
        <v>2</v>
      </c>
      <c r="G106" s="493">
        <v>2</v>
      </c>
      <c r="H106" s="493">
        <v>0</v>
      </c>
      <c r="I106" s="493"/>
      <c r="J106" s="493">
        <v>1</v>
      </c>
      <c r="K106" s="493">
        <v>0</v>
      </c>
      <c r="L106" s="493">
        <v>1</v>
      </c>
      <c r="M106" s="493"/>
      <c r="N106" s="493">
        <v>2</v>
      </c>
      <c r="O106" s="493"/>
      <c r="P106" s="398"/>
      <c r="Q106" s="493">
        <v>2</v>
      </c>
      <c r="R106" s="493">
        <v>2</v>
      </c>
      <c r="S106" s="498">
        <v>2</v>
      </c>
      <c r="T106" s="498">
        <v>0</v>
      </c>
      <c r="U106" s="498">
        <v>2</v>
      </c>
      <c r="V106" s="498">
        <v>2</v>
      </c>
      <c r="W106" s="498">
        <v>4</v>
      </c>
      <c r="X106" s="498">
        <v>4</v>
      </c>
      <c r="Y106" s="498"/>
      <c r="Z106" s="498">
        <v>4</v>
      </c>
      <c r="AA106" s="395"/>
      <c r="AB106" s="393">
        <v>8</v>
      </c>
      <c r="AC106" s="396"/>
      <c r="AD106" s="414">
        <v>3</v>
      </c>
      <c r="AE106" s="414">
        <v>2</v>
      </c>
      <c r="AF106" s="414">
        <v>2</v>
      </c>
      <c r="AG106" s="414">
        <v>4</v>
      </c>
      <c r="AH106" s="414">
        <v>4</v>
      </c>
      <c r="AI106" s="502">
        <v>45</v>
      </c>
      <c r="AJ106" s="396"/>
    </row>
    <row r="107" spans="1:36" ht="15.9" customHeight="1" x14ac:dyDescent="0.3">
      <c r="A107" s="412">
        <v>87</v>
      </c>
      <c r="B107" s="381">
        <v>1187</v>
      </c>
      <c r="C107" s="378" t="s">
        <v>684</v>
      </c>
      <c r="D107" s="519" t="s">
        <v>477</v>
      </c>
      <c r="E107" s="423"/>
      <c r="F107" s="508">
        <v>2</v>
      </c>
      <c r="G107" s="493">
        <v>2</v>
      </c>
      <c r="H107" s="493"/>
      <c r="I107" s="493"/>
      <c r="J107" s="493"/>
      <c r="K107" s="493">
        <v>0</v>
      </c>
      <c r="L107" s="493">
        <v>1</v>
      </c>
      <c r="M107" s="493"/>
      <c r="N107" s="493"/>
      <c r="O107" s="493"/>
      <c r="P107" s="399"/>
      <c r="Q107" s="493">
        <v>2</v>
      </c>
      <c r="R107" s="493"/>
      <c r="S107" s="498">
        <v>2</v>
      </c>
      <c r="T107" s="498">
        <v>0</v>
      </c>
      <c r="U107" s="498"/>
      <c r="V107" s="498">
        <v>0</v>
      </c>
      <c r="W107" s="498">
        <v>4</v>
      </c>
      <c r="X107" s="498">
        <v>2</v>
      </c>
      <c r="Y107" s="498"/>
      <c r="Z107" s="498"/>
      <c r="AA107" s="395"/>
      <c r="AB107" s="393">
        <v>7</v>
      </c>
      <c r="AC107" s="396"/>
      <c r="AD107" s="414">
        <v>5</v>
      </c>
      <c r="AE107" s="414">
        <v>4</v>
      </c>
      <c r="AF107" s="414">
        <v>5</v>
      </c>
      <c r="AG107" s="414">
        <v>4</v>
      </c>
      <c r="AH107" s="414">
        <v>5</v>
      </c>
      <c r="AI107" s="502">
        <v>19</v>
      </c>
      <c r="AJ107" s="396"/>
    </row>
    <row r="108" spans="1:36" ht="15.9" customHeight="1" x14ac:dyDescent="0.3">
      <c r="A108" s="412">
        <v>88</v>
      </c>
      <c r="B108" s="381">
        <v>1188</v>
      </c>
      <c r="C108" s="378" t="s">
        <v>685</v>
      </c>
      <c r="D108" s="519" t="s">
        <v>478</v>
      </c>
      <c r="E108" s="423"/>
      <c r="F108" s="508">
        <v>1</v>
      </c>
      <c r="G108" s="393">
        <v>2</v>
      </c>
      <c r="H108" s="104">
        <v>0</v>
      </c>
      <c r="I108" s="104"/>
      <c r="J108" s="104"/>
      <c r="K108" s="104">
        <v>1</v>
      </c>
      <c r="L108" s="493">
        <v>4</v>
      </c>
      <c r="M108" s="493"/>
      <c r="N108" s="493"/>
      <c r="O108" s="493"/>
      <c r="P108" s="399"/>
      <c r="Q108" s="493">
        <v>0</v>
      </c>
      <c r="R108" s="493"/>
      <c r="S108" s="498">
        <v>2</v>
      </c>
      <c r="T108" s="498"/>
      <c r="U108" s="498">
        <v>2</v>
      </c>
      <c r="V108" s="498">
        <v>0</v>
      </c>
      <c r="W108" s="498">
        <v>1</v>
      </c>
      <c r="X108" s="498">
        <v>0</v>
      </c>
      <c r="Y108" s="498"/>
      <c r="Z108" s="498"/>
      <c r="AA108" s="395"/>
      <c r="AB108" s="393">
        <v>6</v>
      </c>
      <c r="AC108" s="396"/>
      <c r="AD108" s="414">
        <v>4</v>
      </c>
      <c r="AE108" s="414">
        <v>3</v>
      </c>
      <c r="AF108" s="414">
        <v>4</v>
      </c>
      <c r="AG108" s="414">
        <v>5</v>
      </c>
      <c r="AH108" s="414">
        <v>5</v>
      </c>
      <c r="AI108" s="502">
        <v>18</v>
      </c>
      <c r="AJ108" s="396"/>
    </row>
    <row r="109" spans="1:36" ht="15.9" customHeight="1" x14ac:dyDescent="0.3">
      <c r="A109" s="412">
        <v>89</v>
      </c>
      <c r="B109" s="381">
        <v>1189</v>
      </c>
      <c r="C109" s="378" t="s">
        <v>686</v>
      </c>
      <c r="D109" s="519" t="s">
        <v>479</v>
      </c>
      <c r="E109" s="423"/>
      <c r="F109" s="508">
        <v>1</v>
      </c>
      <c r="G109" s="393">
        <v>2</v>
      </c>
      <c r="H109" s="104">
        <v>0</v>
      </c>
      <c r="I109" s="104"/>
      <c r="J109" s="104"/>
      <c r="K109" s="104">
        <v>2</v>
      </c>
      <c r="L109" s="493">
        <v>4</v>
      </c>
      <c r="M109" s="493">
        <v>1</v>
      </c>
      <c r="N109" s="493"/>
      <c r="O109" s="493"/>
      <c r="P109" s="399"/>
      <c r="Q109" s="493">
        <v>0</v>
      </c>
      <c r="R109" s="493">
        <v>1</v>
      </c>
      <c r="S109" s="498">
        <v>2</v>
      </c>
      <c r="T109" s="498">
        <v>0</v>
      </c>
      <c r="U109" s="498"/>
      <c r="V109" s="498">
        <v>2</v>
      </c>
      <c r="W109" s="498"/>
      <c r="X109" s="498">
        <v>2</v>
      </c>
      <c r="Y109" s="498">
        <v>1</v>
      </c>
      <c r="Z109" s="498">
        <v>0</v>
      </c>
      <c r="AA109" s="395"/>
      <c r="AB109" s="393">
        <v>7</v>
      </c>
      <c r="AC109" s="397"/>
      <c r="AD109" s="414">
        <v>4</v>
      </c>
      <c r="AE109" s="414">
        <v>2</v>
      </c>
      <c r="AF109" s="414">
        <v>3</v>
      </c>
      <c r="AG109" s="414">
        <v>2</v>
      </c>
      <c r="AH109" s="414">
        <v>3</v>
      </c>
      <c r="AI109" s="502">
        <v>33</v>
      </c>
      <c r="AJ109" s="397"/>
    </row>
    <row r="110" spans="1:36" ht="15.9" customHeight="1" x14ac:dyDescent="0.3">
      <c r="A110" s="412">
        <v>90</v>
      </c>
      <c r="B110" s="381">
        <v>1190</v>
      </c>
      <c r="C110" s="378" t="s">
        <v>687</v>
      </c>
      <c r="D110" s="519" t="s">
        <v>480</v>
      </c>
      <c r="E110" s="423"/>
      <c r="F110" s="508">
        <v>2</v>
      </c>
      <c r="G110" s="393">
        <v>2</v>
      </c>
      <c r="H110" s="59"/>
      <c r="I110" s="59"/>
      <c r="J110" s="59">
        <v>1</v>
      </c>
      <c r="K110" s="59">
        <v>1</v>
      </c>
      <c r="L110" s="493">
        <v>1</v>
      </c>
      <c r="M110" s="493">
        <v>0</v>
      </c>
      <c r="N110" s="493">
        <v>1</v>
      </c>
      <c r="O110" s="493"/>
      <c r="P110" s="399"/>
      <c r="Q110" s="493">
        <v>2</v>
      </c>
      <c r="R110" s="493">
        <v>2</v>
      </c>
      <c r="S110" s="498">
        <v>2</v>
      </c>
      <c r="T110" s="498">
        <v>0</v>
      </c>
      <c r="U110" s="498">
        <v>1</v>
      </c>
      <c r="V110" s="498">
        <v>2</v>
      </c>
      <c r="W110" s="498"/>
      <c r="X110" s="498">
        <v>4</v>
      </c>
      <c r="Y110" s="498"/>
      <c r="Z110" s="498">
        <v>4</v>
      </c>
      <c r="AA110" s="395"/>
      <c r="AB110" s="393">
        <v>9</v>
      </c>
      <c r="AC110" s="396"/>
      <c r="AD110" s="414">
        <v>5</v>
      </c>
      <c r="AE110" s="414">
        <v>3</v>
      </c>
      <c r="AF110" s="414">
        <v>4</v>
      </c>
      <c r="AG110" s="414">
        <v>3</v>
      </c>
      <c r="AH110" s="414">
        <v>5</v>
      </c>
      <c r="AI110" s="502">
        <v>53</v>
      </c>
      <c r="AJ110" s="396"/>
    </row>
    <row r="111" spans="1:36" ht="15.9" customHeight="1" x14ac:dyDescent="0.3">
      <c r="A111" s="412">
        <v>91</v>
      </c>
      <c r="B111" s="381">
        <v>1191</v>
      </c>
      <c r="C111" s="378" t="s">
        <v>688</v>
      </c>
      <c r="D111" s="519" t="s">
        <v>481</v>
      </c>
      <c r="E111" s="423"/>
      <c r="F111" s="508">
        <v>2</v>
      </c>
      <c r="G111" s="393">
        <v>2</v>
      </c>
      <c r="H111" s="104">
        <v>0</v>
      </c>
      <c r="I111" s="104"/>
      <c r="J111" s="104">
        <v>1</v>
      </c>
      <c r="K111" s="104"/>
      <c r="L111" s="493"/>
      <c r="M111" s="493"/>
      <c r="N111" s="493"/>
      <c r="O111" s="493"/>
      <c r="P111" s="399"/>
      <c r="Q111" s="493">
        <v>2</v>
      </c>
      <c r="R111" s="493">
        <v>0</v>
      </c>
      <c r="S111" s="498"/>
      <c r="T111" s="498"/>
      <c r="U111" s="498">
        <v>2</v>
      </c>
      <c r="V111" s="498">
        <v>1</v>
      </c>
      <c r="W111" s="498"/>
      <c r="X111" s="498">
        <v>2</v>
      </c>
      <c r="Y111" s="498">
        <v>0</v>
      </c>
      <c r="Z111" s="498"/>
      <c r="AA111" s="337"/>
      <c r="AB111" s="393">
        <v>7</v>
      </c>
      <c r="AC111" s="396"/>
      <c r="AD111" s="414">
        <v>5</v>
      </c>
      <c r="AE111" s="414">
        <v>5</v>
      </c>
      <c r="AF111" s="414">
        <v>5</v>
      </c>
      <c r="AG111" s="414">
        <v>3</v>
      </c>
      <c r="AH111" s="414">
        <v>5</v>
      </c>
      <c r="AI111" s="502">
        <v>13</v>
      </c>
      <c r="AJ111" s="396"/>
    </row>
    <row r="112" spans="1:36" ht="15.9" customHeight="1" x14ac:dyDescent="0.3">
      <c r="A112" s="412">
        <v>92</v>
      </c>
      <c r="B112" s="381">
        <v>1192</v>
      </c>
      <c r="C112" s="378" t="s">
        <v>689</v>
      </c>
      <c r="D112" s="519" t="s">
        <v>482</v>
      </c>
      <c r="E112" s="423"/>
      <c r="F112" s="508">
        <v>2</v>
      </c>
      <c r="G112" s="393">
        <v>2</v>
      </c>
      <c r="H112" s="59">
        <v>2</v>
      </c>
      <c r="I112" s="59">
        <v>2</v>
      </c>
      <c r="J112" s="59">
        <v>2</v>
      </c>
      <c r="K112" s="59">
        <v>2</v>
      </c>
      <c r="L112" s="493">
        <v>1</v>
      </c>
      <c r="M112" s="493">
        <v>4</v>
      </c>
      <c r="N112" s="493">
        <v>4</v>
      </c>
      <c r="O112" s="493">
        <v>4</v>
      </c>
      <c r="P112" s="399"/>
      <c r="Q112" s="493">
        <v>2</v>
      </c>
      <c r="R112" s="493">
        <v>2</v>
      </c>
      <c r="S112" s="498">
        <v>2</v>
      </c>
      <c r="T112" s="498">
        <v>0</v>
      </c>
      <c r="U112" s="498">
        <v>2</v>
      </c>
      <c r="V112" s="498">
        <v>2</v>
      </c>
      <c r="W112" s="498">
        <v>4</v>
      </c>
      <c r="X112" s="498">
        <v>4</v>
      </c>
      <c r="Y112" s="498">
        <v>4</v>
      </c>
      <c r="Z112" s="498">
        <v>2</v>
      </c>
      <c r="AA112" s="395"/>
      <c r="AB112" s="393">
        <v>10</v>
      </c>
      <c r="AC112" s="396"/>
      <c r="AD112" s="414">
        <v>5</v>
      </c>
      <c r="AE112" s="414">
        <v>3</v>
      </c>
      <c r="AF112" s="414">
        <v>4</v>
      </c>
      <c r="AG112" s="414">
        <v>5</v>
      </c>
      <c r="AH112" s="414">
        <v>5</v>
      </c>
      <c r="AI112" s="502">
        <v>71</v>
      </c>
      <c r="AJ112" s="396"/>
    </row>
    <row r="113" spans="1:36" ht="15.9" customHeight="1" x14ac:dyDescent="0.3">
      <c r="A113" s="412">
        <v>93</v>
      </c>
      <c r="B113" s="381">
        <v>1193</v>
      </c>
      <c r="C113" s="378" t="s">
        <v>690</v>
      </c>
      <c r="D113" s="519" t="s">
        <v>483</v>
      </c>
      <c r="E113" s="423"/>
      <c r="F113" s="508">
        <v>2</v>
      </c>
      <c r="G113" s="393">
        <v>2</v>
      </c>
      <c r="H113" s="104"/>
      <c r="I113" s="104">
        <v>2</v>
      </c>
      <c r="J113" s="104"/>
      <c r="K113" s="104">
        <v>2</v>
      </c>
      <c r="L113" s="493">
        <v>1</v>
      </c>
      <c r="M113" s="493">
        <v>1</v>
      </c>
      <c r="N113" s="493">
        <v>0</v>
      </c>
      <c r="O113" s="493"/>
      <c r="P113" s="398"/>
      <c r="Q113" s="493">
        <v>0</v>
      </c>
      <c r="R113" s="493">
        <v>2</v>
      </c>
      <c r="S113" s="498"/>
      <c r="T113" s="498">
        <v>0</v>
      </c>
      <c r="U113" s="498"/>
      <c r="V113" s="498">
        <v>2</v>
      </c>
      <c r="W113" s="498"/>
      <c r="X113" s="498"/>
      <c r="Y113" s="498"/>
      <c r="Z113" s="498"/>
      <c r="AA113" s="395"/>
      <c r="AB113" s="393">
        <v>7</v>
      </c>
      <c r="AC113" s="397"/>
      <c r="AD113" s="414">
        <v>5</v>
      </c>
      <c r="AE113" s="414">
        <v>4</v>
      </c>
      <c r="AF113" s="414">
        <v>5</v>
      </c>
      <c r="AG113" s="414">
        <v>4</v>
      </c>
      <c r="AH113" s="414">
        <v>5</v>
      </c>
      <c r="AI113" s="502">
        <v>25</v>
      </c>
      <c r="AJ113" s="397"/>
    </row>
    <row r="114" spans="1:36" ht="15.9" customHeight="1" x14ac:dyDescent="0.3">
      <c r="A114" s="412">
        <v>94</v>
      </c>
      <c r="B114" s="381">
        <v>1194</v>
      </c>
      <c r="C114" s="378" t="s">
        <v>691</v>
      </c>
      <c r="D114" s="519" t="s">
        <v>484</v>
      </c>
      <c r="E114" s="423"/>
      <c r="F114" s="508">
        <v>2</v>
      </c>
      <c r="G114" s="493">
        <v>2</v>
      </c>
      <c r="H114" s="104"/>
      <c r="I114" s="104"/>
      <c r="J114" s="104">
        <v>2</v>
      </c>
      <c r="K114" s="104">
        <v>0</v>
      </c>
      <c r="L114" s="493">
        <v>1</v>
      </c>
      <c r="M114" s="493"/>
      <c r="N114" s="493"/>
      <c r="O114" s="493"/>
      <c r="P114" s="399"/>
      <c r="Q114" s="493">
        <v>0</v>
      </c>
      <c r="R114" s="493"/>
      <c r="S114" s="498"/>
      <c r="T114" s="498"/>
      <c r="U114" s="498"/>
      <c r="V114" s="498">
        <v>0</v>
      </c>
      <c r="W114" s="498"/>
      <c r="X114" s="498"/>
      <c r="Y114" s="498"/>
      <c r="Z114" s="498"/>
      <c r="AA114" s="395"/>
      <c r="AB114" s="393">
        <v>8</v>
      </c>
      <c r="AC114" s="396"/>
      <c r="AD114" s="414">
        <v>5</v>
      </c>
      <c r="AE114" s="414">
        <v>3</v>
      </c>
      <c r="AF114" s="414">
        <v>4</v>
      </c>
      <c r="AG114" s="414">
        <v>4</v>
      </c>
      <c r="AH114" s="414">
        <v>4</v>
      </c>
      <c r="AI114" s="502">
        <v>12</v>
      </c>
      <c r="AJ114" s="396"/>
    </row>
    <row r="115" spans="1:36" ht="15.9" customHeight="1" x14ac:dyDescent="0.3">
      <c r="A115" s="412">
        <v>95</v>
      </c>
      <c r="B115" s="381">
        <v>1195</v>
      </c>
      <c r="C115" s="378" t="s">
        <v>692</v>
      </c>
      <c r="D115" s="519" t="s">
        <v>485</v>
      </c>
      <c r="E115" s="423"/>
      <c r="F115" s="508">
        <v>2</v>
      </c>
      <c r="G115" s="393">
        <v>2</v>
      </c>
      <c r="H115" s="59">
        <v>2</v>
      </c>
      <c r="I115" s="59">
        <v>2</v>
      </c>
      <c r="J115" s="59">
        <v>2</v>
      </c>
      <c r="K115" s="59"/>
      <c r="L115" s="493"/>
      <c r="M115" s="493"/>
      <c r="N115" s="493"/>
      <c r="O115" s="493">
        <v>4</v>
      </c>
      <c r="P115" s="398"/>
      <c r="Q115" s="493">
        <v>0</v>
      </c>
      <c r="R115" s="493">
        <v>0</v>
      </c>
      <c r="S115" s="498"/>
      <c r="T115" s="498">
        <v>0</v>
      </c>
      <c r="U115" s="498">
        <v>2</v>
      </c>
      <c r="V115" s="498">
        <v>1</v>
      </c>
      <c r="W115" s="498">
        <v>1</v>
      </c>
      <c r="X115" s="498">
        <v>0</v>
      </c>
      <c r="Y115" s="498"/>
      <c r="Z115" s="498">
        <v>0</v>
      </c>
      <c r="AA115" s="395"/>
      <c r="AB115" s="393">
        <v>6</v>
      </c>
      <c r="AC115" s="396"/>
      <c r="AD115" s="414">
        <v>5</v>
      </c>
      <c r="AE115" s="414">
        <v>5</v>
      </c>
      <c r="AF115" s="414">
        <v>5</v>
      </c>
      <c r="AG115" s="414">
        <v>5</v>
      </c>
      <c r="AH115" s="414">
        <v>5</v>
      </c>
      <c r="AI115" s="502">
        <v>22</v>
      </c>
      <c r="AJ115" s="396"/>
    </row>
    <row r="116" spans="1:36" ht="15.9" customHeight="1" x14ac:dyDescent="0.3">
      <c r="A116" s="412">
        <v>96</v>
      </c>
      <c r="B116" s="381">
        <v>1196</v>
      </c>
      <c r="C116" s="378" t="s">
        <v>693</v>
      </c>
      <c r="D116" s="519" t="s">
        <v>486</v>
      </c>
      <c r="E116" s="423"/>
      <c r="F116" s="508">
        <v>0</v>
      </c>
      <c r="G116" s="393">
        <v>0</v>
      </c>
      <c r="H116" s="59">
        <v>0</v>
      </c>
      <c r="I116" s="59">
        <v>0</v>
      </c>
      <c r="J116" s="59"/>
      <c r="K116" s="59"/>
      <c r="L116" s="493">
        <v>0</v>
      </c>
      <c r="M116" s="493"/>
      <c r="N116" s="493"/>
      <c r="O116" s="493">
        <v>0</v>
      </c>
      <c r="P116" s="398"/>
      <c r="Q116" s="493">
        <v>2</v>
      </c>
      <c r="R116" s="493"/>
      <c r="S116" s="498">
        <v>1</v>
      </c>
      <c r="T116" s="498">
        <v>2</v>
      </c>
      <c r="U116" s="498">
        <v>0</v>
      </c>
      <c r="V116" s="498"/>
      <c r="W116" s="498">
        <v>0</v>
      </c>
      <c r="X116" s="498"/>
      <c r="Y116" s="498"/>
      <c r="Z116" s="498"/>
      <c r="AA116" s="395"/>
      <c r="AB116" s="393">
        <v>10</v>
      </c>
      <c r="AC116" s="396"/>
      <c r="AD116" s="414">
        <v>2</v>
      </c>
      <c r="AE116" s="414">
        <v>1</v>
      </c>
      <c r="AF116" s="414">
        <v>1</v>
      </c>
      <c r="AG116" s="414">
        <v>3</v>
      </c>
      <c r="AH116" s="414">
        <v>1</v>
      </c>
      <c r="AI116" s="502">
        <v>10</v>
      </c>
      <c r="AJ116" s="396"/>
    </row>
    <row r="117" spans="1:36" ht="15.9" customHeight="1" x14ac:dyDescent="0.3">
      <c r="A117" s="412">
        <v>97</v>
      </c>
      <c r="B117" s="381">
        <v>1197</v>
      </c>
      <c r="C117" s="378" t="s">
        <v>694</v>
      </c>
      <c r="D117" s="519" t="s">
        <v>487</v>
      </c>
      <c r="E117" s="423"/>
      <c r="F117" s="508">
        <v>2</v>
      </c>
      <c r="G117" s="393">
        <v>2</v>
      </c>
      <c r="H117" s="59">
        <v>0</v>
      </c>
      <c r="I117" s="59"/>
      <c r="J117" s="59">
        <v>1</v>
      </c>
      <c r="K117" s="59"/>
      <c r="L117" s="493"/>
      <c r="M117" s="493"/>
      <c r="N117" s="493"/>
      <c r="O117" s="493"/>
      <c r="P117" s="398"/>
      <c r="Q117" s="416" t="s">
        <v>348</v>
      </c>
      <c r="R117" s="416" t="s">
        <v>348</v>
      </c>
      <c r="S117" s="416" t="s">
        <v>348</v>
      </c>
      <c r="T117" s="416" t="s">
        <v>348</v>
      </c>
      <c r="U117" s="416" t="s">
        <v>348</v>
      </c>
      <c r="V117" s="416" t="s">
        <v>348</v>
      </c>
      <c r="W117" s="416" t="s">
        <v>348</v>
      </c>
      <c r="X117" s="416" t="s">
        <v>348</v>
      </c>
      <c r="Y117" s="416" t="s">
        <v>348</v>
      </c>
      <c r="Z117" s="416" t="s">
        <v>348</v>
      </c>
      <c r="AA117" s="395"/>
      <c r="AB117" s="393">
        <v>7</v>
      </c>
      <c r="AC117" s="396"/>
      <c r="AD117" s="414">
        <v>3</v>
      </c>
      <c r="AE117" s="414">
        <v>2</v>
      </c>
      <c r="AF117" s="414">
        <v>3</v>
      </c>
      <c r="AG117" s="414">
        <v>2</v>
      </c>
      <c r="AH117" s="414">
        <v>3</v>
      </c>
      <c r="AI117" s="502">
        <v>24</v>
      </c>
      <c r="AJ117" s="396"/>
    </row>
    <row r="118" spans="1:36" ht="15.9" customHeight="1" x14ac:dyDescent="0.3">
      <c r="A118" s="412">
        <v>98</v>
      </c>
      <c r="B118" s="381">
        <v>1198</v>
      </c>
      <c r="C118" s="378" t="s">
        <v>695</v>
      </c>
      <c r="D118" s="519" t="s">
        <v>488</v>
      </c>
      <c r="E118" s="423"/>
      <c r="F118" s="508">
        <v>2</v>
      </c>
      <c r="G118" s="393">
        <v>2</v>
      </c>
      <c r="H118" s="104"/>
      <c r="I118" s="104"/>
      <c r="J118" s="104">
        <v>2</v>
      </c>
      <c r="K118" s="104">
        <v>1</v>
      </c>
      <c r="L118" s="493"/>
      <c r="M118" s="493">
        <v>1</v>
      </c>
      <c r="N118" s="493"/>
      <c r="O118" s="493"/>
      <c r="P118" s="399"/>
      <c r="Q118" s="493"/>
      <c r="R118" s="493"/>
      <c r="S118" s="498">
        <v>0</v>
      </c>
      <c r="T118" s="498">
        <v>0</v>
      </c>
      <c r="U118" s="498">
        <v>0</v>
      </c>
      <c r="V118" s="498"/>
      <c r="W118" s="498"/>
      <c r="X118" s="498"/>
      <c r="Y118" s="498"/>
      <c r="Z118" s="498"/>
      <c r="AA118" s="395"/>
      <c r="AB118" s="393">
        <v>7</v>
      </c>
      <c r="AC118" s="396"/>
      <c r="AD118" s="414">
        <v>4</v>
      </c>
      <c r="AE118" s="414">
        <v>4</v>
      </c>
      <c r="AF118" s="414">
        <v>5</v>
      </c>
      <c r="AG118" s="414">
        <v>5</v>
      </c>
      <c r="AH118" s="414">
        <v>4</v>
      </c>
      <c r="AI118" s="502">
        <v>16</v>
      </c>
      <c r="AJ118" s="396"/>
    </row>
    <row r="119" spans="1:36" ht="15.9" customHeight="1" x14ac:dyDescent="0.3">
      <c r="A119" s="412">
        <v>99</v>
      </c>
      <c r="B119" s="381">
        <v>1199</v>
      </c>
      <c r="C119" s="378" t="s">
        <v>696</v>
      </c>
      <c r="D119" s="519" t="s">
        <v>489</v>
      </c>
      <c r="E119" s="423"/>
      <c r="F119" s="508">
        <v>2</v>
      </c>
      <c r="G119" s="393">
        <v>1</v>
      </c>
      <c r="H119" s="104">
        <v>2</v>
      </c>
      <c r="I119" s="104">
        <v>0</v>
      </c>
      <c r="J119" s="104">
        <v>0</v>
      </c>
      <c r="K119" s="104">
        <v>0</v>
      </c>
      <c r="L119" s="493"/>
      <c r="M119" s="493"/>
      <c r="N119" s="493"/>
      <c r="O119" s="493"/>
      <c r="P119" s="398"/>
      <c r="Q119" s="493"/>
      <c r="R119" s="493"/>
      <c r="S119" s="498">
        <v>2</v>
      </c>
      <c r="T119" s="498">
        <v>0</v>
      </c>
      <c r="U119" s="498"/>
      <c r="V119" s="498">
        <v>1</v>
      </c>
      <c r="W119" s="498"/>
      <c r="X119" s="498"/>
      <c r="Y119" s="498"/>
      <c r="Z119" s="498"/>
      <c r="AA119" s="395"/>
      <c r="AB119" s="393">
        <v>10</v>
      </c>
      <c r="AC119" s="396"/>
      <c r="AD119" s="414">
        <v>3</v>
      </c>
      <c r="AE119" s="414">
        <v>4</v>
      </c>
      <c r="AF119" s="414">
        <v>3</v>
      </c>
      <c r="AG119" s="414">
        <v>4</v>
      </c>
      <c r="AH119" s="414">
        <v>4</v>
      </c>
      <c r="AI119" s="502">
        <v>36</v>
      </c>
      <c r="AJ119" s="396"/>
    </row>
    <row r="120" spans="1:36" ht="15.9" customHeight="1" x14ac:dyDescent="0.3">
      <c r="A120" s="412">
        <v>100</v>
      </c>
      <c r="B120" s="381">
        <v>11100</v>
      </c>
      <c r="C120" s="378" t="s">
        <v>697</v>
      </c>
      <c r="D120" s="519" t="s">
        <v>490</v>
      </c>
      <c r="E120" s="423"/>
      <c r="F120" s="508">
        <v>2</v>
      </c>
      <c r="G120" s="393">
        <v>1</v>
      </c>
      <c r="H120" s="59"/>
      <c r="I120" s="59">
        <v>0</v>
      </c>
      <c r="J120" s="59">
        <v>0</v>
      </c>
      <c r="K120" s="59">
        <v>1</v>
      </c>
      <c r="L120" s="493"/>
      <c r="M120" s="493"/>
      <c r="N120" s="493"/>
      <c r="O120" s="493">
        <v>0</v>
      </c>
      <c r="P120" s="399"/>
      <c r="Q120" s="493">
        <v>2</v>
      </c>
      <c r="R120" s="493"/>
      <c r="S120" s="498"/>
      <c r="T120" s="498">
        <v>2</v>
      </c>
      <c r="U120" s="498">
        <v>2</v>
      </c>
      <c r="V120" s="498">
        <v>2</v>
      </c>
      <c r="W120" s="498">
        <v>4</v>
      </c>
      <c r="X120" s="498">
        <v>4</v>
      </c>
      <c r="Y120" s="498">
        <v>0</v>
      </c>
      <c r="Z120" s="498"/>
      <c r="AA120" s="395"/>
      <c r="AB120" s="393">
        <v>8</v>
      </c>
      <c r="AC120" s="397"/>
      <c r="AD120" s="414">
        <v>3</v>
      </c>
      <c r="AE120" s="414">
        <v>3</v>
      </c>
      <c r="AF120" s="414">
        <v>3</v>
      </c>
      <c r="AG120" s="414">
        <v>3</v>
      </c>
      <c r="AH120" s="414">
        <v>3</v>
      </c>
      <c r="AI120" s="502">
        <v>34</v>
      </c>
      <c r="AJ120" s="397"/>
    </row>
    <row r="121" spans="1:36" ht="15.9" customHeight="1" x14ac:dyDescent="0.3">
      <c r="A121" s="412">
        <v>101</v>
      </c>
      <c r="B121" s="381">
        <v>11101</v>
      </c>
      <c r="C121" s="378" t="s">
        <v>698</v>
      </c>
      <c r="D121" s="519" t="s">
        <v>491</v>
      </c>
      <c r="E121" s="423"/>
      <c r="F121" s="508">
        <v>1</v>
      </c>
      <c r="G121" s="393">
        <v>0</v>
      </c>
      <c r="H121" s="59">
        <v>0</v>
      </c>
      <c r="I121" s="59">
        <v>0</v>
      </c>
      <c r="J121" s="59">
        <v>0</v>
      </c>
      <c r="K121" s="59"/>
      <c r="L121" s="493">
        <v>0</v>
      </c>
      <c r="M121" s="493">
        <v>0</v>
      </c>
      <c r="N121" s="493">
        <v>0</v>
      </c>
      <c r="O121" s="493">
        <v>0</v>
      </c>
      <c r="P121" s="398"/>
      <c r="Q121" s="493">
        <v>2</v>
      </c>
      <c r="R121" s="493">
        <v>0</v>
      </c>
      <c r="S121" s="498"/>
      <c r="T121" s="498">
        <v>2</v>
      </c>
      <c r="U121" s="498">
        <v>2</v>
      </c>
      <c r="V121" s="498">
        <v>0</v>
      </c>
      <c r="W121" s="498">
        <v>0</v>
      </c>
      <c r="X121" s="498">
        <v>0</v>
      </c>
      <c r="Y121" s="498">
        <v>4</v>
      </c>
      <c r="Z121" s="498">
        <v>0</v>
      </c>
      <c r="AA121" s="395"/>
      <c r="AB121" s="393">
        <v>8</v>
      </c>
      <c r="AC121" s="396"/>
      <c r="AD121" s="414">
        <v>3</v>
      </c>
      <c r="AE121" s="414">
        <v>3</v>
      </c>
      <c r="AF121" s="414">
        <v>3</v>
      </c>
      <c r="AG121" s="414">
        <v>3</v>
      </c>
      <c r="AH121" s="414">
        <v>3</v>
      </c>
      <c r="AI121" s="502">
        <v>26</v>
      </c>
      <c r="AJ121" s="396"/>
    </row>
    <row r="122" spans="1:36" ht="15.9" customHeight="1" x14ac:dyDescent="0.3">
      <c r="A122" s="412">
        <v>102</v>
      </c>
      <c r="B122" s="381">
        <v>11102</v>
      </c>
      <c r="C122" s="378" t="s">
        <v>699</v>
      </c>
      <c r="D122" s="519" t="s">
        <v>492</v>
      </c>
      <c r="E122" s="423"/>
      <c r="F122" s="508">
        <v>2</v>
      </c>
      <c r="G122" s="393">
        <v>2</v>
      </c>
      <c r="H122" s="393">
        <v>2</v>
      </c>
      <c r="I122" s="393">
        <v>2</v>
      </c>
      <c r="J122" s="393"/>
      <c r="K122" s="393">
        <v>2</v>
      </c>
      <c r="L122" s="493">
        <v>1</v>
      </c>
      <c r="M122" s="493"/>
      <c r="N122" s="493">
        <v>0</v>
      </c>
      <c r="O122" s="493">
        <v>4</v>
      </c>
      <c r="P122" s="399"/>
      <c r="Q122" s="493">
        <v>2</v>
      </c>
      <c r="R122" s="493"/>
      <c r="S122" s="498">
        <v>2</v>
      </c>
      <c r="T122" s="498"/>
      <c r="U122" s="498">
        <v>2</v>
      </c>
      <c r="V122" s="498">
        <v>2</v>
      </c>
      <c r="W122" s="498">
        <v>4</v>
      </c>
      <c r="X122" s="498"/>
      <c r="Y122" s="498">
        <v>0</v>
      </c>
      <c r="Z122" s="498"/>
      <c r="AA122" s="395"/>
      <c r="AB122" s="393">
        <v>7</v>
      </c>
      <c r="AC122" s="396"/>
      <c r="AD122" s="414">
        <v>4</v>
      </c>
      <c r="AE122" s="414">
        <v>2</v>
      </c>
      <c r="AF122" s="414">
        <v>3</v>
      </c>
      <c r="AG122" s="414">
        <v>4</v>
      </c>
      <c r="AH122" s="414">
        <v>2</v>
      </c>
      <c r="AI122" s="502">
        <v>20</v>
      </c>
      <c r="AJ122" s="396"/>
    </row>
    <row r="123" spans="1:36" ht="15.9" customHeight="1" x14ac:dyDescent="0.3">
      <c r="A123" s="412">
        <v>103</v>
      </c>
      <c r="B123" s="381">
        <v>11103</v>
      </c>
      <c r="C123" s="378" t="s">
        <v>700</v>
      </c>
      <c r="D123" s="519" t="s">
        <v>493</v>
      </c>
      <c r="E123" s="423"/>
      <c r="F123" s="508">
        <v>1</v>
      </c>
      <c r="G123" s="393"/>
      <c r="H123" s="393">
        <v>2</v>
      </c>
      <c r="I123" s="393">
        <v>2</v>
      </c>
      <c r="J123" s="393"/>
      <c r="K123" s="393">
        <v>2</v>
      </c>
      <c r="L123" s="493">
        <v>4</v>
      </c>
      <c r="M123" s="493">
        <v>0</v>
      </c>
      <c r="N123" s="493"/>
      <c r="O123" s="493"/>
      <c r="P123" s="399"/>
      <c r="Q123" s="493">
        <v>0</v>
      </c>
      <c r="R123" s="493"/>
      <c r="S123" s="498">
        <v>0</v>
      </c>
      <c r="T123" s="498">
        <v>0</v>
      </c>
      <c r="U123" s="498"/>
      <c r="V123" s="498">
        <v>0</v>
      </c>
      <c r="W123" s="498"/>
      <c r="X123" s="498"/>
      <c r="Y123" s="498">
        <v>0</v>
      </c>
      <c r="Z123" s="498"/>
      <c r="AA123" s="337"/>
      <c r="AB123" s="393">
        <v>6</v>
      </c>
      <c r="AC123" s="396"/>
      <c r="AD123" s="414">
        <v>4</v>
      </c>
      <c r="AE123" s="414">
        <v>2</v>
      </c>
      <c r="AF123" s="414">
        <v>3</v>
      </c>
      <c r="AG123" s="414">
        <v>3</v>
      </c>
      <c r="AH123" s="414">
        <v>3</v>
      </c>
      <c r="AI123" s="502">
        <v>26</v>
      </c>
      <c r="AJ123" s="396"/>
    </row>
    <row r="124" spans="1:36" ht="15.9" customHeight="1" x14ac:dyDescent="0.3">
      <c r="A124" s="412">
        <v>104</v>
      </c>
      <c r="B124" s="381">
        <v>11104</v>
      </c>
      <c r="C124" s="378" t="s">
        <v>701</v>
      </c>
      <c r="D124" s="519" t="s">
        <v>494</v>
      </c>
      <c r="E124" s="423"/>
      <c r="F124" s="508">
        <v>1</v>
      </c>
      <c r="G124" s="393">
        <v>2</v>
      </c>
      <c r="H124" s="493">
        <v>2</v>
      </c>
      <c r="I124" s="493">
        <v>2</v>
      </c>
      <c r="J124" s="493"/>
      <c r="K124" s="493">
        <v>0</v>
      </c>
      <c r="L124" s="493">
        <v>4</v>
      </c>
      <c r="M124" s="493"/>
      <c r="N124" s="493">
        <v>1</v>
      </c>
      <c r="O124" s="493">
        <v>4</v>
      </c>
      <c r="P124" s="399"/>
      <c r="Q124" s="493">
        <v>0</v>
      </c>
      <c r="R124" s="493"/>
      <c r="S124" s="498">
        <v>0</v>
      </c>
      <c r="T124" s="498">
        <v>0</v>
      </c>
      <c r="U124" s="498"/>
      <c r="V124" s="498"/>
      <c r="W124" s="498">
        <v>0</v>
      </c>
      <c r="X124" s="498"/>
      <c r="Y124" s="498"/>
      <c r="Z124" s="498"/>
      <c r="AA124" s="395"/>
      <c r="AB124" s="393">
        <v>6</v>
      </c>
      <c r="AC124" s="397"/>
      <c r="AD124" s="414">
        <v>5</v>
      </c>
      <c r="AE124" s="414">
        <v>5</v>
      </c>
      <c r="AF124" s="414">
        <v>5</v>
      </c>
      <c r="AG124" s="414">
        <v>5</v>
      </c>
      <c r="AH124" s="414">
        <v>5</v>
      </c>
      <c r="AI124" s="502">
        <v>19</v>
      </c>
      <c r="AJ124" s="397"/>
    </row>
    <row r="125" spans="1:36" ht="15.9" customHeight="1" x14ac:dyDescent="0.3">
      <c r="A125" s="412">
        <v>105</v>
      </c>
      <c r="B125" s="381">
        <v>11105</v>
      </c>
      <c r="C125" s="378" t="s">
        <v>702</v>
      </c>
      <c r="D125" s="519" t="s">
        <v>495</v>
      </c>
      <c r="E125" s="423"/>
      <c r="F125" s="508">
        <v>2</v>
      </c>
      <c r="G125" s="393">
        <v>2</v>
      </c>
      <c r="H125" s="393">
        <v>2</v>
      </c>
      <c r="I125" s="393">
        <v>2</v>
      </c>
      <c r="J125" s="393">
        <v>0</v>
      </c>
      <c r="K125" s="393"/>
      <c r="L125" s="493">
        <v>4</v>
      </c>
      <c r="M125" s="493"/>
      <c r="N125" s="493">
        <v>1</v>
      </c>
      <c r="O125" s="493">
        <v>4</v>
      </c>
      <c r="P125" s="399"/>
      <c r="Q125" s="493">
        <v>1</v>
      </c>
      <c r="R125" s="493">
        <v>1</v>
      </c>
      <c r="S125" s="498">
        <v>0</v>
      </c>
      <c r="T125" s="498">
        <v>0</v>
      </c>
      <c r="U125" s="498">
        <v>2</v>
      </c>
      <c r="V125" s="498">
        <v>1</v>
      </c>
      <c r="W125" s="498">
        <v>4</v>
      </c>
      <c r="X125" s="498"/>
      <c r="Y125" s="498"/>
      <c r="Z125" s="498">
        <v>4</v>
      </c>
      <c r="AA125" s="395"/>
      <c r="AB125" s="393">
        <v>7</v>
      </c>
      <c r="AC125" s="397"/>
      <c r="AD125" s="414">
        <v>5</v>
      </c>
      <c r="AE125" s="414">
        <v>4</v>
      </c>
      <c r="AF125" s="414">
        <v>5</v>
      </c>
      <c r="AG125" s="414">
        <v>4</v>
      </c>
      <c r="AH125" s="414">
        <v>5</v>
      </c>
      <c r="AI125" s="502">
        <v>25</v>
      </c>
      <c r="AJ125" s="397"/>
    </row>
    <row r="126" spans="1:36" ht="15.9" customHeight="1" x14ac:dyDescent="0.3">
      <c r="A126" s="412">
        <v>106</v>
      </c>
      <c r="B126" s="381">
        <v>11106</v>
      </c>
      <c r="C126" s="378" t="s">
        <v>703</v>
      </c>
      <c r="D126" s="519" t="s">
        <v>496</v>
      </c>
      <c r="E126" s="423"/>
      <c r="F126" s="508">
        <v>2</v>
      </c>
      <c r="G126" s="393">
        <v>2</v>
      </c>
      <c r="H126" s="59">
        <v>2</v>
      </c>
      <c r="I126" s="59">
        <v>2</v>
      </c>
      <c r="J126" s="59"/>
      <c r="K126" s="59"/>
      <c r="L126" s="493">
        <v>1</v>
      </c>
      <c r="M126" s="493"/>
      <c r="N126" s="493">
        <v>2</v>
      </c>
      <c r="O126" s="493">
        <v>4</v>
      </c>
      <c r="P126" s="399"/>
      <c r="Q126" s="493">
        <v>2</v>
      </c>
      <c r="R126" s="493">
        <v>0</v>
      </c>
      <c r="S126" s="498">
        <v>2</v>
      </c>
      <c r="T126" s="498"/>
      <c r="U126" s="498"/>
      <c r="V126" s="498">
        <v>2</v>
      </c>
      <c r="W126" s="498">
        <v>4</v>
      </c>
      <c r="X126" s="498">
        <v>2</v>
      </c>
      <c r="Y126" s="498">
        <v>4</v>
      </c>
      <c r="Z126" s="498"/>
      <c r="AA126" s="395"/>
      <c r="AB126" s="393">
        <v>8</v>
      </c>
      <c r="AC126" s="396"/>
      <c r="AD126" s="414">
        <v>5</v>
      </c>
      <c r="AE126" s="414">
        <v>4</v>
      </c>
      <c r="AF126" s="414">
        <v>5</v>
      </c>
      <c r="AG126" s="414">
        <v>4</v>
      </c>
      <c r="AH126" s="414">
        <v>5</v>
      </c>
      <c r="AI126" s="502">
        <v>44</v>
      </c>
      <c r="AJ126" s="396"/>
    </row>
    <row r="127" spans="1:36" ht="11.25" customHeight="1" x14ac:dyDescent="0.3">
      <c r="A127" s="412">
        <v>107</v>
      </c>
      <c r="B127" s="381">
        <v>11107</v>
      </c>
      <c r="C127" s="378" t="s">
        <v>704</v>
      </c>
      <c r="D127" s="519" t="s">
        <v>497</v>
      </c>
      <c r="E127" s="423"/>
      <c r="F127" s="508">
        <v>2</v>
      </c>
      <c r="G127" s="393">
        <v>2</v>
      </c>
      <c r="H127" s="59">
        <v>2</v>
      </c>
      <c r="I127" s="59">
        <v>2</v>
      </c>
      <c r="J127" s="59">
        <v>2</v>
      </c>
      <c r="K127" s="59">
        <v>1</v>
      </c>
      <c r="L127" s="493">
        <v>2</v>
      </c>
      <c r="M127" s="493">
        <v>1</v>
      </c>
      <c r="N127" s="493">
        <v>1</v>
      </c>
      <c r="O127" s="493">
        <v>3</v>
      </c>
      <c r="P127" s="399"/>
      <c r="Q127" s="493">
        <v>2</v>
      </c>
      <c r="R127" s="493"/>
      <c r="S127" s="498">
        <v>2</v>
      </c>
      <c r="T127" s="498">
        <v>1</v>
      </c>
      <c r="U127" s="498">
        <v>2</v>
      </c>
      <c r="V127" s="498">
        <v>1</v>
      </c>
      <c r="W127" s="498">
        <v>4</v>
      </c>
      <c r="X127" s="498"/>
      <c r="Y127" s="498">
        <v>4</v>
      </c>
      <c r="Z127" s="498">
        <v>4</v>
      </c>
      <c r="AA127" s="395"/>
      <c r="AB127" s="393">
        <v>8</v>
      </c>
      <c r="AC127" s="397"/>
      <c r="AD127" s="414">
        <v>3</v>
      </c>
      <c r="AE127" s="414">
        <v>4</v>
      </c>
      <c r="AF127" s="414">
        <v>3</v>
      </c>
      <c r="AG127" s="414">
        <v>5</v>
      </c>
      <c r="AH127" s="414">
        <v>3</v>
      </c>
      <c r="AI127" s="502">
        <v>38</v>
      </c>
      <c r="AJ127" s="397"/>
    </row>
    <row r="128" spans="1:36" ht="15.9" customHeight="1" x14ac:dyDescent="0.3">
      <c r="A128" s="412">
        <v>108</v>
      </c>
      <c r="B128" s="381">
        <v>11108</v>
      </c>
      <c r="C128" s="378" t="s">
        <v>705</v>
      </c>
      <c r="D128" s="519" t="s">
        <v>498</v>
      </c>
      <c r="E128" s="423"/>
      <c r="F128" s="508">
        <v>2</v>
      </c>
      <c r="G128" s="393">
        <v>2</v>
      </c>
      <c r="H128" s="393">
        <v>2</v>
      </c>
      <c r="I128" s="393">
        <v>2</v>
      </c>
      <c r="J128" s="393">
        <v>2</v>
      </c>
      <c r="K128" s="393">
        <v>2</v>
      </c>
      <c r="L128" s="493">
        <v>1</v>
      </c>
      <c r="M128" s="493">
        <v>1</v>
      </c>
      <c r="N128" s="493"/>
      <c r="O128" s="493">
        <v>4</v>
      </c>
      <c r="P128" s="399"/>
      <c r="Q128" s="493">
        <v>2</v>
      </c>
      <c r="R128" s="493">
        <v>0</v>
      </c>
      <c r="S128" s="498">
        <v>1</v>
      </c>
      <c r="T128" s="498">
        <v>2</v>
      </c>
      <c r="U128" s="498">
        <v>2</v>
      </c>
      <c r="V128" s="498">
        <v>2</v>
      </c>
      <c r="W128" s="498">
        <v>2</v>
      </c>
      <c r="X128" s="498">
        <v>0</v>
      </c>
      <c r="Y128" s="498">
        <v>4</v>
      </c>
      <c r="Z128" s="498"/>
      <c r="AA128" s="337"/>
      <c r="AB128" s="393">
        <v>7</v>
      </c>
      <c r="AC128" s="397"/>
      <c r="AD128" s="414">
        <v>3</v>
      </c>
      <c r="AE128" s="414">
        <v>4</v>
      </c>
      <c r="AF128" s="414">
        <v>4</v>
      </c>
      <c r="AG128" s="414">
        <v>4</v>
      </c>
      <c r="AH128" s="414">
        <v>4</v>
      </c>
      <c r="AI128" s="502">
        <v>54</v>
      </c>
      <c r="AJ128" s="397"/>
    </row>
    <row r="129" spans="1:36" ht="15.9" customHeight="1" x14ac:dyDescent="0.3">
      <c r="A129" s="412">
        <v>109</v>
      </c>
      <c r="B129" s="381">
        <v>11109</v>
      </c>
      <c r="C129" s="378" t="s">
        <v>706</v>
      </c>
      <c r="D129" s="519" t="s">
        <v>499</v>
      </c>
      <c r="E129" s="423"/>
      <c r="F129" s="508">
        <v>2</v>
      </c>
      <c r="G129" s="393">
        <v>2</v>
      </c>
      <c r="H129" s="393">
        <v>2</v>
      </c>
      <c r="I129" s="393">
        <v>2</v>
      </c>
      <c r="J129" s="393"/>
      <c r="K129" s="393">
        <v>2</v>
      </c>
      <c r="L129" s="493">
        <v>4</v>
      </c>
      <c r="M129" s="493"/>
      <c r="N129" s="493">
        <v>4</v>
      </c>
      <c r="O129" s="493">
        <v>4</v>
      </c>
      <c r="P129" s="398"/>
      <c r="Q129" s="493">
        <v>2</v>
      </c>
      <c r="R129" s="493"/>
      <c r="S129" s="498">
        <v>2</v>
      </c>
      <c r="T129" s="498">
        <v>2</v>
      </c>
      <c r="U129" s="498">
        <v>2</v>
      </c>
      <c r="V129" s="498"/>
      <c r="W129" s="498">
        <v>4</v>
      </c>
      <c r="X129" s="498">
        <v>0</v>
      </c>
      <c r="Y129" s="498">
        <v>4</v>
      </c>
      <c r="Z129" s="498">
        <v>4</v>
      </c>
      <c r="AA129" s="395"/>
      <c r="AB129" s="393">
        <v>10</v>
      </c>
      <c r="AC129" s="396"/>
      <c r="AD129" s="414">
        <v>3</v>
      </c>
      <c r="AE129" s="414">
        <v>3</v>
      </c>
      <c r="AF129" s="414">
        <v>3</v>
      </c>
      <c r="AG129" s="414">
        <v>3</v>
      </c>
      <c r="AH129" s="414">
        <v>5</v>
      </c>
      <c r="AI129" s="502">
        <v>72</v>
      </c>
      <c r="AJ129" s="396"/>
    </row>
    <row r="130" spans="1:36" ht="15.9" customHeight="1" x14ac:dyDescent="0.3">
      <c r="A130" s="412">
        <v>110</v>
      </c>
      <c r="B130" s="381">
        <v>11110</v>
      </c>
      <c r="C130" s="378" t="s">
        <v>707</v>
      </c>
      <c r="D130" s="519" t="s">
        <v>500</v>
      </c>
      <c r="E130" s="423"/>
      <c r="F130" s="508">
        <v>2</v>
      </c>
      <c r="G130" s="393">
        <v>2</v>
      </c>
      <c r="H130" s="493">
        <v>2</v>
      </c>
      <c r="I130" s="493">
        <v>2</v>
      </c>
      <c r="J130" s="493"/>
      <c r="K130" s="493">
        <v>2</v>
      </c>
      <c r="L130" s="493">
        <v>4</v>
      </c>
      <c r="M130" s="493"/>
      <c r="N130" s="493">
        <v>4</v>
      </c>
      <c r="O130" s="493">
        <v>4</v>
      </c>
      <c r="P130" s="399"/>
      <c r="Q130" s="493">
        <v>2</v>
      </c>
      <c r="R130" s="493">
        <v>0</v>
      </c>
      <c r="S130" s="498"/>
      <c r="T130" s="498">
        <v>2</v>
      </c>
      <c r="U130" s="498">
        <v>2</v>
      </c>
      <c r="V130" s="498">
        <v>1</v>
      </c>
      <c r="W130" s="498">
        <v>4</v>
      </c>
      <c r="X130" s="498">
        <v>4</v>
      </c>
      <c r="Y130" s="498">
        <v>4</v>
      </c>
      <c r="Z130" s="498"/>
      <c r="AA130" s="395"/>
      <c r="AB130" s="393">
        <v>10</v>
      </c>
      <c r="AC130" s="396"/>
      <c r="AD130" s="414">
        <v>5</v>
      </c>
      <c r="AE130" s="414">
        <v>4</v>
      </c>
      <c r="AF130" s="414">
        <v>3</v>
      </c>
      <c r="AG130" s="414">
        <v>5</v>
      </c>
      <c r="AH130" s="414">
        <v>4</v>
      </c>
      <c r="AI130" s="502">
        <v>62</v>
      </c>
      <c r="AJ130" s="396"/>
    </row>
    <row r="131" spans="1:36" ht="15.9" customHeight="1" x14ac:dyDescent="0.3">
      <c r="A131" s="412">
        <v>111</v>
      </c>
      <c r="B131" s="381">
        <v>11111</v>
      </c>
      <c r="C131" s="378" t="s">
        <v>708</v>
      </c>
      <c r="D131" s="519" t="s">
        <v>501</v>
      </c>
      <c r="E131" s="423"/>
      <c r="F131" s="508">
        <v>2</v>
      </c>
      <c r="G131" s="393"/>
      <c r="H131" s="493">
        <v>2</v>
      </c>
      <c r="I131" s="493">
        <v>2</v>
      </c>
      <c r="J131" s="493">
        <v>2</v>
      </c>
      <c r="K131" s="493"/>
      <c r="L131" s="493">
        <v>4</v>
      </c>
      <c r="M131" s="493"/>
      <c r="N131" s="493">
        <v>4</v>
      </c>
      <c r="O131" s="493">
        <v>4</v>
      </c>
      <c r="P131" s="398"/>
      <c r="Q131" s="493"/>
      <c r="R131" s="493">
        <v>0</v>
      </c>
      <c r="S131" s="498">
        <v>2</v>
      </c>
      <c r="T131" s="498"/>
      <c r="U131" s="498">
        <v>2</v>
      </c>
      <c r="V131" s="498">
        <v>1</v>
      </c>
      <c r="W131" s="498"/>
      <c r="X131" s="498">
        <v>1</v>
      </c>
      <c r="Y131" s="498">
        <v>0</v>
      </c>
      <c r="Z131" s="498"/>
      <c r="AA131" s="395"/>
      <c r="AB131" s="393">
        <v>8</v>
      </c>
      <c r="AC131" s="396"/>
      <c r="AD131" s="414">
        <v>3</v>
      </c>
      <c r="AE131" s="414">
        <v>4</v>
      </c>
      <c r="AF131" s="414">
        <v>3</v>
      </c>
      <c r="AG131" s="414">
        <v>4</v>
      </c>
      <c r="AH131" s="414">
        <v>4</v>
      </c>
      <c r="AI131" s="502">
        <v>49</v>
      </c>
      <c r="AJ131" s="396"/>
    </row>
    <row r="132" spans="1:36" ht="15.9" customHeight="1" x14ac:dyDescent="0.3">
      <c r="A132" s="412">
        <v>112</v>
      </c>
      <c r="B132" s="381">
        <v>11112</v>
      </c>
      <c r="C132" s="378" t="s">
        <v>709</v>
      </c>
      <c r="D132" s="519" t="s">
        <v>502</v>
      </c>
      <c r="E132" s="423"/>
      <c r="F132" s="508">
        <v>2</v>
      </c>
      <c r="G132" s="393">
        <v>2</v>
      </c>
      <c r="H132" s="493">
        <v>1</v>
      </c>
      <c r="I132" s="493">
        <v>2</v>
      </c>
      <c r="J132" s="493">
        <v>2</v>
      </c>
      <c r="K132" s="493">
        <v>0</v>
      </c>
      <c r="L132" s="493"/>
      <c r="M132" s="493">
        <v>1</v>
      </c>
      <c r="N132" s="493">
        <v>2</v>
      </c>
      <c r="O132" s="493">
        <v>3</v>
      </c>
      <c r="P132" s="398"/>
      <c r="Q132" s="493">
        <v>0</v>
      </c>
      <c r="R132" s="493">
        <v>0</v>
      </c>
      <c r="S132" s="498">
        <v>0</v>
      </c>
      <c r="T132" s="498">
        <v>0</v>
      </c>
      <c r="U132" s="498"/>
      <c r="V132" s="498">
        <v>1</v>
      </c>
      <c r="W132" s="498">
        <v>0</v>
      </c>
      <c r="X132" s="498">
        <v>0</v>
      </c>
      <c r="Y132" s="498"/>
      <c r="Z132" s="498"/>
      <c r="AA132" s="395"/>
      <c r="AB132" s="393">
        <v>7</v>
      </c>
      <c r="AC132" s="396"/>
      <c r="AD132" s="414">
        <v>4</v>
      </c>
      <c r="AE132" s="414">
        <v>3</v>
      </c>
      <c r="AF132" s="414">
        <v>3</v>
      </c>
      <c r="AG132" s="414">
        <v>4</v>
      </c>
      <c r="AH132" s="414">
        <v>4</v>
      </c>
      <c r="AI132" s="502">
        <v>16</v>
      </c>
      <c r="AJ132" s="396"/>
    </row>
    <row r="133" spans="1:36" ht="15.9" customHeight="1" x14ac:dyDescent="0.3">
      <c r="A133" s="412">
        <v>113</v>
      </c>
      <c r="B133" s="381">
        <v>11113</v>
      </c>
      <c r="C133" s="378" t="s">
        <v>710</v>
      </c>
      <c r="D133" s="519" t="s">
        <v>503</v>
      </c>
      <c r="E133" s="423"/>
      <c r="F133" s="508">
        <v>2</v>
      </c>
      <c r="G133" s="393">
        <v>2</v>
      </c>
      <c r="H133" s="493"/>
      <c r="I133" s="493"/>
      <c r="J133" s="493"/>
      <c r="K133" s="493">
        <v>0</v>
      </c>
      <c r="L133" s="493">
        <v>0</v>
      </c>
      <c r="M133" s="493"/>
      <c r="N133" s="493">
        <v>2</v>
      </c>
      <c r="O133" s="493">
        <v>1</v>
      </c>
      <c r="P133" s="398"/>
      <c r="Q133" s="493">
        <v>0</v>
      </c>
      <c r="R133" s="493"/>
      <c r="S133" s="498"/>
      <c r="T133" s="498">
        <v>1</v>
      </c>
      <c r="U133" s="498"/>
      <c r="V133" s="498">
        <v>1</v>
      </c>
      <c r="W133" s="498">
        <v>0</v>
      </c>
      <c r="X133" s="498"/>
      <c r="Y133" s="498"/>
      <c r="Z133" s="498"/>
      <c r="AA133" s="395"/>
      <c r="AB133" s="393">
        <v>7</v>
      </c>
      <c r="AC133" s="397"/>
      <c r="AD133" s="414">
        <v>4</v>
      </c>
      <c r="AE133" s="414">
        <v>3</v>
      </c>
      <c r="AF133" s="414">
        <v>4</v>
      </c>
      <c r="AG133" s="414">
        <v>4</v>
      </c>
      <c r="AH133" s="414">
        <v>5</v>
      </c>
      <c r="AI133" s="502">
        <v>17</v>
      </c>
      <c r="AJ133" s="397"/>
    </row>
    <row r="134" spans="1:36" ht="15.9" customHeight="1" x14ac:dyDescent="0.3">
      <c r="A134" s="412">
        <v>114</v>
      </c>
      <c r="B134" s="381">
        <v>11114</v>
      </c>
      <c r="C134" s="378" t="s">
        <v>711</v>
      </c>
      <c r="D134" s="519" t="s">
        <v>504</v>
      </c>
      <c r="E134" s="423"/>
      <c r="F134" s="508">
        <v>2</v>
      </c>
      <c r="G134" s="393">
        <v>2</v>
      </c>
      <c r="H134" s="493">
        <v>2</v>
      </c>
      <c r="I134" s="493">
        <v>2</v>
      </c>
      <c r="J134" s="493">
        <v>0</v>
      </c>
      <c r="K134" s="493">
        <v>0</v>
      </c>
      <c r="L134" s="493">
        <v>1</v>
      </c>
      <c r="M134" s="493"/>
      <c r="N134" s="493">
        <v>2</v>
      </c>
      <c r="O134" s="493">
        <v>4</v>
      </c>
      <c r="P134" s="398"/>
      <c r="Q134" s="493"/>
      <c r="R134" s="493">
        <v>2</v>
      </c>
      <c r="S134" s="498">
        <v>0</v>
      </c>
      <c r="T134" s="498">
        <v>0</v>
      </c>
      <c r="U134" s="498">
        <v>2</v>
      </c>
      <c r="V134" s="498"/>
      <c r="W134" s="498"/>
      <c r="X134" s="498"/>
      <c r="Y134" s="498">
        <v>4</v>
      </c>
      <c r="Z134" s="498"/>
      <c r="AA134" s="395"/>
      <c r="AB134" s="393">
        <v>8</v>
      </c>
      <c r="AC134" s="396"/>
      <c r="AD134" s="414">
        <v>3</v>
      </c>
      <c r="AE134" s="414">
        <v>3</v>
      </c>
      <c r="AF134" s="414">
        <v>3</v>
      </c>
      <c r="AG134" s="414">
        <v>3</v>
      </c>
      <c r="AH134" s="414">
        <v>3</v>
      </c>
      <c r="AI134" s="502">
        <v>57</v>
      </c>
      <c r="AJ134" s="396"/>
    </row>
    <row r="135" spans="1:36" ht="15.9" customHeight="1" x14ac:dyDescent="0.3">
      <c r="A135" s="412">
        <v>115</v>
      </c>
      <c r="B135" s="381">
        <v>11115</v>
      </c>
      <c r="C135" s="378" t="s">
        <v>712</v>
      </c>
      <c r="D135" s="519" t="s">
        <v>505</v>
      </c>
      <c r="E135" s="423"/>
      <c r="F135" s="508">
        <v>2</v>
      </c>
      <c r="G135" s="393">
        <v>2</v>
      </c>
      <c r="H135" s="493">
        <v>2</v>
      </c>
      <c r="I135" s="493">
        <v>2</v>
      </c>
      <c r="J135" s="493">
        <v>2</v>
      </c>
      <c r="K135" s="493"/>
      <c r="L135" s="493">
        <v>1</v>
      </c>
      <c r="M135" s="493"/>
      <c r="N135" s="493">
        <v>4</v>
      </c>
      <c r="O135" s="493">
        <v>4</v>
      </c>
      <c r="P135" s="398"/>
      <c r="Q135" s="493"/>
      <c r="R135" s="493">
        <v>0</v>
      </c>
      <c r="S135" s="498">
        <v>2</v>
      </c>
      <c r="T135" s="498"/>
      <c r="U135" s="498">
        <v>1</v>
      </c>
      <c r="V135" s="498">
        <v>1</v>
      </c>
      <c r="W135" s="498">
        <v>4</v>
      </c>
      <c r="X135" s="498">
        <v>0</v>
      </c>
      <c r="Y135" s="498">
        <v>1</v>
      </c>
      <c r="Z135" s="498"/>
      <c r="AA135" s="337"/>
      <c r="AB135" s="393">
        <v>8</v>
      </c>
      <c r="AC135" s="397"/>
      <c r="AD135" s="414">
        <v>3</v>
      </c>
      <c r="AE135" s="414">
        <v>4</v>
      </c>
      <c r="AF135" s="414">
        <v>4</v>
      </c>
      <c r="AG135" s="414">
        <v>5</v>
      </c>
      <c r="AH135" s="414">
        <v>5</v>
      </c>
      <c r="AI135" s="502">
        <v>40</v>
      </c>
      <c r="AJ135" s="397"/>
    </row>
    <row r="136" spans="1:36" ht="15.9" customHeight="1" x14ac:dyDescent="0.3">
      <c r="A136" s="413">
        <v>116</v>
      </c>
      <c r="B136" s="381">
        <v>11116</v>
      </c>
      <c r="C136" s="378" t="s">
        <v>713</v>
      </c>
      <c r="D136" s="519" t="s">
        <v>506</v>
      </c>
      <c r="E136" s="423"/>
      <c r="F136" s="508">
        <v>2</v>
      </c>
      <c r="G136" s="393">
        <v>2</v>
      </c>
      <c r="H136" s="493">
        <v>2</v>
      </c>
      <c r="I136" s="493">
        <v>2</v>
      </c>
      <c r="J136" s="493">
        <v>2</v>
      </c>
      <c r="K136" s="493"/>
      <c r="L136" s="493">
        <v>4</v>
      </c>
      <c r="M136" s="493">
        <v>1</v>
      </c>
      <c r="N136" s="493">
        <v>2</v>
      </c>
      <c r="O136" s="493"/>
      <c r="P136" s="398"/>
      <c r="Q136" s="493">
        <v>2</v>
      </c>
      <c r="R136" s="493">
        <v>2</v>
      </c>
      <c r="S136" s="498">
        <v>2</v>
      </c>
      <c r="T136" s="498">
        <v>0</v>
      </c>
      <c r="U136" s="498">
        <v>2</v>
      </c>
      <c r="V136" s="498">
        <v>0</v>
      </c>
      <c r="W136" s="498">
        <v>4</v>
      </c>
      <c r="X136" s="498">
        <v>1</v>
      </c>
      <c r="Y136" s="498">
        <v>1</v>
      </c>
      <c r="Z136" s="498">
        <v>2</v>
      </c>
      <c r="AA136" s="395"/>
      <c r="AB136" s="393">
        <v>10</v>
      </c>
      <c r="AC136" s="397"/>
      <c r="AD136" s="414">
        <v>3</v>
      </c>
      <c r="AE136" s="414">
        <v>3</v>
      </c>
      <c r="AF136" s="414">
        <v>3</v>
      </c>
      <c r="AG136" s="414">
        <v>3</v>
      </c>
      <c r="AH136" s="414">
        <v>3</v>
      </c>
      <c r="AI136" s="502">
        <v>46</v>
      </c>
      <c r="AJ136" s="397"/>
    </row>
    <row r="137" spans="1:36" ht="15" customHeight="1" x14ac:dyDescent="0.3">
      <c r="A137" s="377">
        <v>117</v>
      </c>
      <c r="B137" s="381">
        <v>11117</v>
      </c>
      <c r="C137" s="378" t="s">
        <v>714</v>
      </c>
      <c r="D137" s="519" t="s">
        <v>507</v>
      </c>
      <c r="E137" s="423"/>
      <c r="F137" s="508">
        <v>2</v>
      </c>
      <c r="G137" s="393">
        <v>1</v>
      </c>
      <c r="H137" s="493">
        <v>2</v>
      </c>
      <c r="I137" s="493">
        <v>0</v>
      </c>
      <c r="J137" s="493"/>
      <c r="K137" s="493">
        <v>2</v>
      </c>
      <c r="L137" s="493"/>
      <c r="M137" s="493">
        <v>0</v>
      </c>
      <c r="N137" s="493"/>
      <c r="O137" s="493">
        <v>4</v>
      </c>
      <c r="P137" s="399"/>
      <c r="Q137" s="493">
        <v>2</v>
      </c>
      <c r="R137" s="493">
        <v>2</v>
      </c>
      <c r="S137" s="498">
        <v>0</v>
      </c>
      <c r="T137" s="498">
        <v>0</v>
      </c>
      <c r="U137" s="498"/>
      <c r="V137" s="498"/>
      <c r="W137" s="498"/>
      <c r="X137" s="498"/>
      <c r="Y137" s="498">
        <v>4</v>
      </c>
      <c r="Z137" s="498"/>
      <c r="AA137" s="395"/>
      <c r="AB137" s="393">
        <v>8</v>
      </c>
      <c r="AC137" s="397"/>
      <c r="AD137" s="414">
        <v>4</v>
      </c>
      <c r="AE137" s="414">
        <v>3</v>
      </c>
      <c r="AF137" s="414">
        <v>4</v>
      </c>
      <c r="AG137" s="414">
        <v>2</v>
      </c>
      <c r="AH137" s="414">
        <v>4</v>
      </c>
      <c r="AI137" s="502">
        <v>30</v>
      </c>
      <c r="AJ137" s="397"/>
    </row>
    <row r="138" spans="1:36" ht="15.75" customHeight="1" x14ac:dyDescent="0.3">
      <c r="A138" s="377">
        <v>118</v>
      </c>
      <c r="B138" s="381">
        <v>11118</v>
      </c>
      <c r="C138" s="378" t="s">
        <v>715</v>
      </c>
      <c r="D138" s="519" t="s">
        <v>508</v>
      </c>
      <c r="E138" s="423"/>
      <c r="F138" s="508">
        <v>2</v>
      </c>
      <c r="G138" s="393">
        <v>2</v>
      </c>
      <c r="H138" s="493">
        <v>2</v>
      </c>
      <c r="I138" s="493">
        <v>0</v>
      </c>
      <c r="J138" s="493">
        <v>2</v>
      </c>
      <c r="K138" s="493"/>
      <c r="L138" s="493">
        <v>1</v>
      </c>
      <c r="M138" s="493">
        <v>1</v>
      </c>
      <c r="N138" s="493"/>
      <c r="O138" s="493">
        <v>4</v>
      </c>
      <c r="P138" s="399"/>
      <c r="Q138" s="493">
        <v>0</v>
      </c>
      <c r="R138" s="493">
        <v>0</v>
      </c>
      <c r="S138" s="498"/>
      <c r="T138" s="498">
        <v>0</v>
      </c>
      <c r="U138" s="498">
        <v>0</v>
      </c>
      <c r="V138" s="498"/>
      <c r="W138" s="498">
        <v>0</v>
      </c>
      <c r="X138" s="498">
        <v>0</v>
      </c>
      <c r="Y138" s="498">
        <v>0</v>
      </c>
      <c r="Z138" s="498"/>
      <c r="AA138" s="395"/>
      <c r="AB138" s="393">
        <v>6</v>
      </c>
      <c r="AC138" s="397"/>
      <c r="AD138" s="414">
        <v>1</v>
      </c>
      <c r="AE138" s="414">
        <v>2</v>
      </c>
      <c r="AF138" s="414">
        <v>1</v>
      </c>
      <c r="AG138" s="414">
        <v>3</v>
      </c>
      <c r="AH138" s="414">
        <v>1</v>
      </c>
      <c r="AI138" s="502">
        <v>19</v>
      </c>
      <c r="AJ138" s="397"/>
    </row>
    <row r="139" spans="1:36" ht="15.75" customHeight="1" x14ac:dyDescent="0.3">
      <c r="A139" s="377">
        <v>119</v>
      </c>
      <c r="B139" s="381">
        <v>11119</v>
      </c>
      <c r="C139" s="378" t="s">
        <v>716</v>
      </c>
      <c r="D139" s="519" t="s">
        <v>509</v>
      </c>
      <c r="E139" s="423"/>
      <c r="F139" s="508">
        <v>2</v>
      </c>
      <c r="G139" s="393">
        <v>2</v>
      </c>
      <c r="H139" s="493">
        <v>2</v>
      </c>
      <c r="I139" s="493">
        <v>1</v>
      </c>
      <c r="J139" s="493">
        <v>0</v>
      </c>
      <c r="K139" s="493">
        <v>0</v>
      </c>
      <c r="L139" s="493">
        <v>1</v>
      </c>
      <c r="M139" s="493">
        <v>1</v>
      </c>
      <c r="N139" s="493">
        <v>2</v>
      </c>
      <c r="O139" s="493">
        <v>4</v>
      </c>
      <c r="P139" s="399"/>
      <c r="Q139" s="493">
        <v>0</v>
      </c>
      <c r="R139" s="493">
        <v>2</v>
      </c>
      <c r="S139" s="498"/>
      <c r="T139" s="498">
        <v>1</v>
      </c>
      <c r="U139" s="498"/>
      <c r="V139" s="498"/>
      <c r="W139" s="498"/>
      <c r="X139" s="498"/>
      <c r="Y139" s="498"/>
      <c r="Z139" s="498"/>
      <c r="AA139" s="395"/>
      <c r="AB139" s="393">
        <v>7</v>
      </c>
      <c r="AC139" s="396"/>
      <c r="AD139" s="414">
        <v>5</v>
      </c>
      <c r="AE139" s="414">
        <v>4</v>
      </c>
      <c r="AF139" s="414">
        <v>5</v>
      </c>
      <c r="AG139" s="414">
        <v>4</v>
      </c>
      <c r="AH139" s="414">
        <v>5</v>
      </c>
      <c r="AI139" s="502">
        <v>22</v>
      </c>
      <c r="AJ139" s="396"/>
    </row>
    <row r="140" spans="1:36" ht="15.75" customHeight="1" x14ac:dyDescent="0.3">
      <c r="A140" s="377">
        <v>120</v>
      </c>
      <c r="B140" s="381">
        <v>11120</v>
      </c>
      <c r="C140" s="378" t="s">
        <v>717</v>
      </c>
      <c r="D140" s="519" t="s">
        <v>510</v>
      </c>
      <c r="E140" s="423"/>
      <c r="F140" s="508">
        <v>2</v>
      </c>
      <c r="G140" s="393">
        <v>2</v>
      </c>
      <c r="H140" s="493">
        <v>2</v>
      </c>
      <c r="I140" s="493">
        <v>2</v>
      </c>
      <c r="J140" s="493">
        <v>1</v>
      </c>
      <c r="K140" s="493"/>
      <c r="L140" s="493">
        <v>4</v>
      </c>
      <c r="M140" s="493">
        <v>4</v>
      </c>
      <c r="N140" s="493"/>
      <c r="O140" s="493">
        <v>4</v>
      </c>
      <c r="P140" s="399"/>
      <c r="Q140" s="493">
        <v>0</v>
      </c>
      <c r="R140" s="493">
        <v>0</v>
      </c>
      <c r="S140" s="498">
        <v>2</v>
      </c>
      <c r="T140" s="498">
        <v>0</v>
      </c>
      <c r="U140" s="498">
        <v>0</v>
      </c>
      <c r="V140" s="498">
        <v>1</v>
      </c>
      <c r="W140" s="498"/>
      <c r="X140" s="498"/>
      <c r="Y140" s="498">
        <v>0</v>
      </c>
      <c r="Z140" s="498">
        <v>0</v>
      </c>
      <c r="AA140" s="395"/>
      <c r="AB140" s="393">
        <v>8</v>
      </c>
      <c r="AC140" s="396"/>
      <c r="AD140" s="414">
        <v>5</v>
      </c>
      <c r="AE140" s="414">
        <v>4</v>
      </c>
      <c r="AF140" s="414">
        <v>5</v>
      </c>
      <c r="AG140" s="414">
        <v>4</v>
      </c>
      <c r="AH140" s="414">
        <v>5</v>
      </c>
      <c r="AI140" s="502">
        <v>37</v>
      </c>
      <c r="AJ140" s="396"/>
    </row>
    <row r="141" spans="1:36" ht="15.75" customHeight="1" x14ac:dyDescent="0.3">
      <c r="A141" s="377">
        <v>121</v>
      </c>
      <c r="B141" s="381">
        <v>11121</v>
      </c>
      <c r="C141" s="378" t="s">
        <v>718</v>
      </c>
      <c r="D141" s="519" t="s">
        <v>511</v>
      </c>
      <c r="E141" s="423"/>
      <c r="F141" s="508">
        <v>2</v>
      </c>
      <c r="G141" s="393">
        <v>2</v>
      </c>
      <c r="H141" s="493">
        <v>2</v>
      </c>
      <c r="I141" s="493">
        <v>2</v>
      </c>
      <c r="J141" s="493"/>
      <c r="K141" s="493"/>
      <c r="L141" s="493">
        <v>4</v>
      </c>
      <c r="M141" s="493"/>
      <c r="N141" s="493">
        <v>3</v>
      </c>
      <c r="O141" s="493">
        <v>4</v>
      </c>
      <c r="P141" s="398"/>
      <c r="Q141" s="493">
        <v>0</v>
      </c>
      <c r="R141" s="493"/>
      <c r="S141" s="498">
        <v>2</v>
      </c>
      <c r="T141" s="498"/>
      <c r="U141" s="498">
        <v>0</v>
      </c>
      <c r="V141" s="498">
        <v>1</v>
      </c>
      <c r="W141" s="498"/>
      <c r="X141" s="498"/>
      <c r="Y141" s="498"/>
      <c r="Z141" s="498"/>
      <c r="AA141" s="395"/>
      <c r="AB141" s="393">
        <v>7</v>
      </c>
      <c r="AC141" s="397"/>
      <c r="AD141" s="414">
        <v>2</v>
      </c>
      <c r="AE141" s="414">
        <v>3</v>
      </c>
      <c r="AF141" s="414">
        <v>2</v>
      </c>
      <c r="AG141" s="414">
        <v>2</v>
      </c>
      <c r="AH141" s="414">
        <v>3</v>
      </c>
      <c r="AI141" s="502">
        <v>23</v>
      </c>
      <c r="AJ141" s="397"/>
    </row>
    <row r="142" spans="1:36" ht="15.75" customHeight="1" x14ac:dyDescent="0.3">
      <c r="A142" s="377">
        <v>122</v>
      </c>
      <c r="B142" s="381">
        <v>11122</v>
      </c>
      <c r="C142" s="378" t="s">
        <v>719</v>
      </c>
      <c r="D142" s="519" t="s">
        <v>512</v>
      </c>
      <c r="E142" s="423"/>
      <c r="F142" s="508">
        <v>2</v>
      </c>
      <c r="G142" s="393">
        <v>2</v>
      </c>
      <c r="H142" s="493"/>
      <c r="I142" s="493"/>
      <c r="J142" s="493"/>
      <c r="K142" s="493">
        <v>1</v>
      </c>
      <c r="L142" s="493">
        <v>4</v>
      </c>
      <c r="M142" s="493">
        <v>1</v>
      </c>
      <c r="N142" s="493">
        <v>2</v>
      </c>
      <c r="O142" s="493">
        <v>4</v>
      </c>
      <c r="P142" s="398"/>
      <c r="Q142" s="493">
        <v>0</v>
      </c>
      <c r="R142" s="493"/>
      <c r="S142" s="498">
        <v>0</v>
      </c>
      <c r="T142" s="498">
        <v>0</v>
      </c>
      <c r="U142" s="498"/>
      <c r="V142" s="498">
        <v>1</v>
      </c>
      <c r="W142" s="498"/>
      <c r="X142" s="498">
        <v>0</v>
      </c>
      <c r="Y142" s="498">
        <v>0</v>
      </c>
      <c r="Z142" s="498">
        <v>0</v>
      </c>
      <c r="AA142" s="395"/>
      <c r="AB142" s="393">
        <v>7</v>
      </c>
      <c r="AC142" s="397"/>
      <c r="AD142" s="414">
        <v>4</v>
      </c>
      <c r="AE142" s="414">
        <v>4</v>
      </c>
      <c r="AF142" s="414">
        <v>3</v>
      </c>
      <c r="AG142" s="414">
        <v>5</v>
      </c>
      <c r="AH142" s="414">
        <v>5</v>
      </c>
      <c r="AI142" s="502">
        <v>17</v>
      </c>
      <c r="AJ142" s="397"/>
    </row>
    <row r="143" spans="1:36" ht="15.75" customHeight="1" x14ac:dyDescent="0.3">
      <c r="A143" s="377">
        <v>123</v>
      </c>
      <c r="B143" s="381">
        <v>11123</v>
      </c>
      <c r="C143" s="378" t="s">
        <v>720</v>
      </c>
      <c r="D143" s="519" t="s">
        <v>513</v>
      </c>
      <c r="E143" s="423"/>
      <c r="F143" s="508">
        <v>2</v>
      </c>
      <c r="G143" s="393">
        <v>2</v>
      </c>
      <c r="H143" s="493">
        <v>2</v>
      </c>
      <c r="I143" s="493">
        <v>2</v>
      </c>
      <c r="J143" s="493">
        <v>1</v>
      </c>
      <c r="K143" s="493">
        <v>2</v>
      </c>
      <c r="L143" s="493">
        <v>1</v>
      </c>
      <c r="M143" s="493">
        <v>2</v>
      </c>
      <c r="N143" s="493">
        <v>2</v>
      </c>
      <c r="O143" s="493">
        <v>4</v>
      </c>
      <c r="P143" s="398"/>
      <c r="Q143" s="493">
        <v>2</v>
      </c>
      <c r="R143" s="493">
        <v>1</v>
      </c>
      <c r="S143" s="498">
        <v>2</v>
      </c>
      <c r="T143" s="498">
        <v>0</v>
      </c>
      <c r="U143" s="498"/>
      <c r="V143" s="498">
        <v>1</v>
      </c>
      <c r="W143" s="498"/>
      <c r="X143" s="498"/>
      <c r="Y143" s="498">
        <v>4</v>
      </c>
      <c r="Z143" s="498"/>
      <c r="AA143" s="395"/>
      <c r="AB143" s="393">
        <v>7</v>
      </c>
      <c r="AC143" s="397"/>
      <c r="AD143" s="414">
        <v>4</v>
      </c>
      <c r="AE143" s="414">
        <v>4</v>
      </c>
      <c r="AF143" s="414">
        <v>5</v>
      </c>
      <c r="AG143" s="414">
        <v>4</v>
      </c>
      <c r="AH143" s="414">
        <v>5</v>
      </c>
      <c r="AI143" s="502">
        <v>34</v>
      </c>
      <c r="AJ143" s="397"/>
    </row>
    <row r="144" spans="1:36" ht="15.75" customHeight="1" x14ac:dyDescent="0.3">
      <c r="A144" s="377">
        <v>124</v>
      </c>
      <c r="B144" s="381">
        <v>11124</v>
      </c>
      <c r="C144" s="378" t="s">
        <v>721</v>
      </c>
      <c r="D144" s="519" t="s">
        <v>514</v>
      </c>
      <c r="E144" s="423"/>
      <c r="F144" s="508">
        <v>2</v>
      </c>
      <c r="G144" s="393">
        <v>2</v>
      </c>
      <c r="H144" s="493"/>
      <c r="I144" s="493">
        <v>2</v>
      </c>
      <c r="J144" s="493"/>
      <c r="K144" s="493">
        <v>2</v>
      </c>
      <c r="L144" s="493"/>
      <c r="M144" s="493">
        <v>1</v>
      </c>
      <c r="N144" s="493"/>
      <c r="O144" s="493">
        <v>4</v>
      </c>
      <c r="P144" s="399"/>
      <c r="Q144" s="493">
        <v>1</v>
      </c>
      <c r="R144" s="493">
        <v>0</v>
      </c>
      <c r="S144" s="498">
        <v>2</v>
      </c>
      <c r="T144" s="498">
        <v>0</v>
      </c>
      <c r="U144" s="498"/>
      <c r="V144" s="498"/>
      <c r="W144" s="498"/>
      <c r="X144" s="498"/>
      <c r="Y144" s="498"/>
      <c r="Z144" s="498"/>
      <c r="AA144" s="395"/>
      <c r="AB144" s="393">
        <v>7</v>
      </c>
      <c r="AC144" s="396"/>
      <c r="AD144" s="414">
        <v>3</v>
      </c>
      <c r="AE144" s="414">
        <v>3</v>
      </c>
      <c r="AF144" s="414">
        <v>3</v>
      </c>
      <c r="AG144" s="414">
        <v>3</v>
      </c>
      <c r="AH144" s="414">
        <v>3</v>
      </c>
      <c r="AI144" s="502">
        <v>19</v>
      </c>
      <c r="AJ144" s="396"/>
    </row>
    <row r="145" spans="1:36" ht="15.75" customHeight="1" x14ac:dyDescent="0.3">
      <c r="A145" s="377">
        <v>125</v>
      </c>
      <c r="B145" s="381">
        <v>11125</v>
      </c>
      <c r="C145" s="378" t="s">
        <v>722</v>
      </c>
      <c r="D145" s="519" t="s">
        <v>515</v>
      </c>
      <c r="E145" s="423"/>
      <c r="F145" s="508">
        <v>2</v>
      </c>
      <c r="G145" s="393">
        <v>2</v>
      </c>
      <c r="H145" s="493">
        <v>2</v>
      </c>
      <c r="I145" s="493">
        <v>1</v>
      </c>
      <c r="J145" s="493"/>
      <c r="K145" s="493"/>
      <c r="L145" s="493">
        <v>4</v>
      </c>
      <c r="M145" s="493">
        <v>0</v>
      </c>
      <c r="N145" s="493">
        <v>2</v>
      </c>
      <c r="O145" s="493">
        <v>0</v>
      </c>
      <c r="P145" s="399"/>
      <c r="Q145" s="493">
        <v>0</v>
      </c>
      <c r="R145" s="493">
        <v>1</v>
      </c>
      <c r="S145" s="498">
        <v>2</v>
      </c>
      <c r="T145" s="498"/>
      <c r="U145" s="498"/>
      <c r="V145" s="498"/>
      <c r="W145" s="498"/>
      <c r="X145" s="498"/>
      <c r="Y145" s="498"/>
      <c r="Z145" s="498">
        <v>0</v>
      </c>
      <c r="AA145" s="395"/>
      <c r="AB145" s="393">
        <v>7</v>
      </c>
      <c r="AC145" s="396"/>
      <c r="AD145" s="414">
        <v>2</v>
      </c>
      <c r="AE145" s="414">
        <v>3</v>
      </c>
      <c r="AF145" s="414">
        <v>2</v>
      </c>
      <c r="AG145" s="414">
        <v>1</v>
      </c>
      <c r="AH145" s="414">
        <v>2</v>
      </c>
      <c r="AI145" s="502">
        <v>21</v>
      </c>
      <c r="AJ145" s="396"/>
    </row>
    <row r="146" spans="1:36" ht="15.75" customHeight="1" x14ac:dyDescent="0.3">
      <c r="A146" s="377">
        <v>126</v>
      </c>
      <c r="B146" s="381">
        <v>11126</v>
      </c>
      <c r="C146" s="378" t="s">
        <v>723</v>
      </c>
      <c r="D146" s="519" t="s">
        <v>516</v>
      </c>
      <c r="E146" s="423"/>
      <c r="F146" s="508">
        <v>2</v>
      </c>
      <c r="G146" s="393">
        <v>2</v>
      </c>
      <c r="H146" s="493">
        <v>2</v>
      </c>
      <c r="I146" s="493">
        <v>2</v>
      </c>
      <c r="J146" s="493"/>
      <c r="K146" s="493"/>
      <c r="L146" s="493">
        <v>1</v>
      </c>
      <c r="M146" s="493">
        <v>4</v>
      </c>
      <c r="N146" s="493">
        <v>1</v>
      </c>
      <c r="O146" s="493">
        <v>0</v>
      </c>
      <c r="P146" s="399"/>
      <c r="Q146" s="493">
        <v>2</v>
      </c>
      <c r="R146" s="493">
        <v>2</v>
      </c>
      <c r="S146" s="498">
        <v>2</v>
      </c>
      <c r="T146" s="498"/>
      <c r="U146" s="498">
        <v>2</v>
      </c>
      <c r="V146" s="498">
        <v>1</v>
      </c>
      <c r="W146" s="498">
        <v>4</v>
      </c>
      <c r="X146" s="498"/>
      <c r="Y146" s="498"/>
      <c r="Z146" s="498"/>
      <c r="AA146" s="395"/>
      <c r="AB146" s="393">
        <v>9</v>
      </c>
      <c r="AC146" s="396"/>
      <c r="AD146" s="414">
        <v>2</v>
      </c>
      <c r="AE146" s="414">
        <v>2</v>
      </c>
      <c r="AF146" s="414">
        <v>3</v>
      </c>
      <c r="AG146" s="414">
        <v>3</v>
      </c>
      <c r="AH146" s="414">
        <v>2</v>
      </c>
      <c r="AI146" s="502">
        <v>50</v>
      </c>
      <c r="AJ146" s="396"/>
    </row>
    <row r="147" spans="1:36" ht="15.75" customHeight="1" x14ac:dyDescent="0.3">
      <c r="A147" s="377">
        <v>127</v>
      </c>
      <c r="B147" s="381">
        <v>11127</v>
      </c>
      <c r="C147" s="378" t="s">
        <v>724</v>
      </c>
      <c r="D147" s="519" t="s">
        <v>517</v>
      </c>
      <c r="E147" s="423"/>
      <c r="F147" s="508">
        <v>2</v>
      </c>
      <c r="G147" s="393">
        <v>2</v>
      </c>
      <c r="H147" s="493"/>
      <c r="I147" s="493"/>
      <c r="J147" s="493">
        <v>2</v>
      </c>
      <c r="K147" s="493">
        <v>2</v>
      </c>
      <c r="L147" s="493">
        <v>1</v>
      </c>
      <c r="M147" s="493">
        <v>2</v>
      </c>
      <c r="N147" s="493"/>
      <c r="O147" s="493">
        <v>4</v>
      </c>
      <c r="P147" s="398"/>
      <c r="Q147" s="493">
        <v>2</v>
      </c>
      <c r="R147" s="493">
        <v>2</v>
      </c>
      <c r="S147" s="498">
        <v>0</v>
      </c>
      <c r="T147" s="498">
        <v>0</v>
      </c>
      <c r="U147" s="498"/>
      <c r="V147" s="498">
        <v>1</v>
      </c>
      <c r="W147" s="498">
        <v>4</v>
      </c>
      <c r="X147" s="498"/>
      <c r="Y147" s="498">
        <v>4</v>
      </c>
      <c r="Z147" s="498"/>
      <c r="AA147" s="395"/>
      <c r="AB147" s="393">
        <v>7</v>
      </c>
      <c r="AC147" s="396"/>
      <c r="AD147" s="414">
        <v>5</v>
      </c>
      <c r="AE147" s="414">
        <v>4</v>
      </c>
      <c r="AF147" s="414">
        <v>5</v>
      </c>
      <c r="AG147" s="414">
        <v>4</v>
      </c>
      <c r="AH147" s="414">
        <v>5</v>
      </c>
      <c r="AI147" s="502">
        <v>36</v>
      </c>
      <c r="AJ147" s="396"/>
    </row>
    <row r="148" spans="1:36" ht="15.75" customHeight="1" x14ac:dyDescent="0.3">
      <c r="A148" s="377">
        <v>128</v>
      </c>
      <c r="B148" s="381">
        <v>11128</v>
      </c>
      <c r="C148" s="378" t="s">
        <v>725</v>
      </c>
      <c r="D148" s="519" t="s">
        <v>518</v>
      </c>
      <c r="E148" s="423"/>
      <c r="F148" s="508">
        <v>2</v>
      </c>
      <c r="G148" s="393">
        <v>2</v>
      </c>
      <c r="H148" s="493"/>
      <c r="I148" s="493"/>
      <c r="J148" s="493">
        <v>2</v>
      </c>
      <c r="K148" s="493">
        <v>2</v>
      </c>
      <c r="L148" s="493">
        <v>1</v>
      </c>
      <c r="M148" s="493">
        <v>1</v>
      </c>
      <c r="N148" s="493"/>
      <c r="O148" s="493">
        <v>4</v>
      </c>
      <c r="P148" s="399"/>
      <c r="Q148" s="493">
        <v>2</v>
      </c>
      <c r="R148" s="493"/>
      <c r="S148" s="498">
        <v>1</v>
      </c>
      <c r="T148" s="498">
        <v>0</v>
      </c>
      <c r="U148" s="498"/>
      <c r="V148" s="498"/>
      <c r="W148" s="498"/>
      <c r="X148" s="498"/>
      <c r="Y148" s="498"/>
      <c r="Z148" s="498"/>
      <c r="AA148" s="395"/>
      <c r="AB148" s="393">
        <v>6</v>
      </c>
      <c r="AC148" s="396"/>
      <c r="AD148" s="414">
        <v>5</v>
      </c>
      <c r="AE148" s="414">
        <v>4</v>
      </c>
      <c r="AF148" s="414">
        <v>5</v>
      </c>
      <c r="AG148" s="414">
        <v>4</v>
      </c>
      <c r="AH148" s="414">
        <v>5</v>
      </c>
      <c r="AI148" s="502">
        <v>30</v>
      </c>
      <c r="AJ148" s="396"/>
    </row>
    <row r="149" spans="1:36" ht="15.75" customHeight="1" x14ac:dyDescent="0.3">
      <c r="A149" s="377">
        <v>129</v>
      </c>
      <c r="B149" s="381">
        <v>11129</v>
      </c>
      <c r="C149" s="378" t="s">
        <v>726</v>
      </c>
      <c r="D149" s="519" t="s">
        <v>519</v>
      </c>
      <c r="E149" s="423"/>
      <c r="F149" s="508">
        <v>2</v>
      </c>
      <c r="G149" s="393">
        <v>2</v>
      </c>
      <c r="H149" s="493">
        <v>2</v>
      </c>
      <c r="I149" s="493">
        <v>2</v>
      </c>
      <c r="J149" s="493">
        <v>2</v>
      </c>
      <c r="K149" s="493"/>
      <c r="L149" s="493">
        <v>4</v>
      </c>
      <c r="M149" s="493">
        <v>3</v>
      </c>
      <c r="N149" s="493">
        <v>4</v>
      </c>
      <c r="O149" s="493">
        <v>4</v>
      </c>
      <c r="P149" s="398"/>
      <c r="Q149" s="493">
        <v>2</v>
      </c>
      <c r="R149" s="493"/>
      <c r="S149" s="498">
        <v>2</v>
      </c>
      <c r="T149" s="498">
        <v>2</v>
      </c>
      <c r="U149" s="498">
        <v>2</v>
      </c>
      <c r="V149" s="498">
        <v>0</v>
      </c>
      <c r="W149" s="498">
        <v>4</v>
      </c>
      <c r="X149" s="498">
        <v>4</v>
      </c>
      <c r="Y149" s="498">
        <v>4</v>
      </c>
      <c r="Z149" s="498"/>
      <c r="AA149" s="395"/>
      <c r="AB149" s="393">
        <v>10</v>
      </c>
      <c r="AC149" s="396"/>
      <c r="AD149" s="414">
        <v>5</v>
      </c>
      <c r="AE149" s="414">
        <v>4</v>
      </c>
      <c r="AF149" s="414">
        <v>5</v>
      </c>
      <c r="AG149" s="414">
        <v>4</v>
      </c>
      <c r="AH149" s="414">
        <v>5</v>
      </c>
      <c r="AI149" s="502">
        <v>52</v>
      </c>
      <c r="AJ149" s="396"/>
    </row>
    <row r="150" spans="1:36" ht="15.75" customHeight="1" x14ac:dyDescent="0.3">
      <c r="A150" s="377">
        <v>130</v>
      </c>
      <c r="B150" s="381">
        <v>11130</v>
      </c>
      <c r="C150" s="378" t="s">
        <v>727</v>
      </c>
      <c r="D150" s="519" t="s">
        <v>520</v>
      </c>
      <c r="E150" s="423"/>
      <c r="F150" s="508">
        <v>2</v>
      </c>
      <c r="G150" s="393">
        <v>2</v>
      </c>
      <c r="H150" s="493">
        <v>2</v>
      </c>
      <c r="I150" s="493"/>
      <c r="J150" s="493">
        <v>2</v>
      </c>
      <c r="K150" s="493"/>
      <c r="L150" s="493">
        <v>4</v>
      </c>
      <c r="M150" s="493">
        <v>1</v>
      </c>
      <c r="N150" s="493">
        <v>4</v>
      </c>
      <c r="O150" s="493"/>
      <c r="P150" s="399"/>
      <c r="Q150" s="493">
        <v>2</v>
      </c>
      <c r="R150" s="493">
        <v>2</v>
      </c>
      <c r="S150" s="498"/>
      <c r="T150" s="498"/>
      <c r="U150" s="498">
        <v>2</v>
      </c>
      <c r="V150" s="498"/>
      <c r="W150" s="498">
        <v>4</v>
      </c>
      <c r="X150" s="498">
        <v>2</v>
      </c>
      <c r="Y150" s="498"/>
      <c r="Z150" s="498"/>
      <c r="AA150" s="337"/>
      <c r="AB150" s="393">
        <v>10</v>
      </c>
      <c r="AC150" s="396"/>
      <c r="AD150" s="414">
        <v>5</v>
      </c>
      <c r="AE150" s="414">
        <v>3</v>
      </c>
      <c r="AF150" s="414">
        <v>5</v>
      </c>
      <c r="AG150" s="414">
        <v>4</v>
      </c>
      <c r="AH150" s="414">
        <v>5</v>
      </c>
      <c r="AI150" s="502">
        <v>54</v>
      </c>
      <c r="AJ150" s="396"/>
    </row>
    <row r="151" spans="1:36" ht="15.75" customHeight="1" x14ac:dyDescent="0.3">
      <c r="A151" s="377">
        <v>131</v>
      </c>
      <c r="B151" s="381">
        <v>11131</v>
      </c>
      <c r="C151" s="378" t="s">
        <v>728</v>
      </c>
      <c r="D151" s="519" t="s">
        <v>521</v>
      </c>
      <c r="E151" s="423"/>
      <c r="F151" s="508">
        <v>2</v>
      </c>
      <c r="G151" s="393">
        <v>2</v>
      </c>
      <c r="H151" s="493">
        <v>2</v>
      </c>
      <c r="I151" s="493"/>
      <c r="J151" s="493">
        <v>2</v>
      </c>
      <c r="K151" s="493"/>
      <c r="L151" s="493">
        <v>1</v>
      </c>
      <c r="M151" s="493"/>
      <c r="N151" s="493">
        <v>4</v>
      </c>
      <c r="O151" s="493"/>
      <c r="P151" s="399"/>
      <c r="Q151" s="493">
        <v>0</v>
      </c>
      <c r="R151" s="493">
        <v>0</v>
      </c>
      <c r="S151" s="498"/>
      <c r="T151" s="498"/>
      <c r="U151" s="498"/>
      <c r="V151" s="498"/>
      <c r="W151" s="498"/>
      <c r="X151" s="498"/>
      <c r="Y151" s="498"/>
      <c r="Z151" s="498"/>
      <c r="AA151" s="395"/>
      <c r="AB151" s="393">
        <v>7</v>
      </c>
      <c r="AC151" s="396"/>
      <c r="AD151" s="414"/>
      <c r="AE151" s="414"/>
      <c r="AF151" s="414"/>
      <c r="AG151" s="414"/>
      <c r="AH151" s="414"/>
      <c r="AI151" s="502">
        <v>24</v>
      </c>
      <c r="AJ151" s="396"/>
    </row>
    <row r="152" spans="1:36" ht="15.75" customHeight="1" x14ac:dyDescent="0.3">
      <c r="A152" s="377">
        <v>132</v>
      </c>
      <c r="B152" s="381">
        <v>11132</v>
      </c>
      <c r="C152" s="378" t="s">
        <v>729</v>
      </c>
      <c r="D152" s="519" t="s">
        <v>522</v>
      </c>
      <c r="E152" s="423"/>
      <c r="F152" s="508">
        <v>2</v>
      </c>
      <c r="G152" s="393"/>
      <c r="H152" s="493"/>
      <c r="I152" s="493">
        <v>2</v>
      </c>
      <c r="J152" s="493">
        <v>2</v>
      </c>
      <c r="K152" s="493">
        <v>1</v>
      </c>
      <c r="L152" s="493">
        <v>4</v>
      </c>
      <c r="M152" s="493">
        <v>4</v>
      </c>
      <c r="N152" s="493">
        <v>4</v>
      </c>
      <c r="O152" s="493"/>
      <c r="P152" s="399"/>
      <c r="Q152" s="493">
        <v>2</v>
      </c>
      <c r="R152" s="493">
        <v>2</v>
      </c>
      <c r="S152" s="498"/>
      <c r="T152" s="498"/>
      <c r="U152" s="498">
        <v>2</v>
      </c>
      <c r="V152" s="498">
        <v>2</v>
      </c>
      <c r="W152" s="498">
        <v>4</v>
      </c>
      <c r="X152" s="498"/>
      <c r="Y152" s="498">
        <v>4</v>
      </c>
      <c r="Z152" s="498"/>
      <c r="AA152" s="395"/>
      <c r="AB152" s="393">
        <v>10</v>
      </c>
      <c r="AC152" s="397"/>
      <c r="AD152" s="414">
        <v>5</v>
      </c>
      <c r="AE152" s="414">
        <v>4</v>
      </c>
      <c r="AF152" s="414">
        <v>3</v>
      </c>
      <c r="AG152" s="414">
        <v>4</v>
      </c>
      <c r="AH152" s="414">
        <v>3</v>
      </c>
      <c r="AI152" s="502">
        <v>65</v>
      </c>
      <c r="AJ152" s="397"/>
    </row>
    <row r="153" spans="1:36" ht="15.75" customHeight="1" x14ac:dyDescent="0.3">
      <c r="A153" s="377">
        <v>133</v>
      </c>
      <c r="B153" s="381">
        <v>11133</v>
      </c>
      <c r="C153" s="378" t="s">
        <v>730</v>
      </c>
      <c r="D153" s="519" t="s">
        <v>523</v>
      </c>
      <c r="E153" s="423"/>
      <c r="F153" s="508">
        <v>2</v>
      </c>
      <c r="G153" s="393">
        <v>2</v>
      </c>
      <c r="H153" s="493"/>
      <c r="I153" s="493">
        <v>2</v>
      </c>
      <c r="J153" s="493">
        <v>0</v>
      </c>
      <c r="K153" s="493">
        <v>0</v>
      </c>
      <c r="L153" s="493">
        <v>4</v>
      </c>
      <c r="M153" s="493"/>
      <c r="N153" s="493">
        <v>4</v>
      </c>
      <c r="O153" s="493"/>
      <c r="P153" s="399"/>
      <c r="Q153" s="493">
        <v>0</v>
      </c>
      <c r="R153" s="493">
        <v>0</v>
      </c>
      <c r="S153" s="498">
        <v>0</v>
      </c>
      <c r="T153" s="498"/>
      <c r="U153" s="498"/>
      <c r="V153" s="498">
        <v>2</v>
      </c>
      <c r="W153" s="498">
        <v>0</v>
      </c>
      <c r="X153" s="498"/>
      <c r="Y153" s="498">
        <v>4</v>
      </c>
      <c r="Z153" s="498"/>
      <c r="AA153" s="337"/>
      <c r="AB153" s="393">
        <v>7</v>
      </c>
      <c r="AC153" s="396"/>
      <c r="AD153" s="414">
        <v>5</v>
      </c>
      <c r="AE153" s="414">
        <v>4</v>
      </c>
      <c r="AF153" s="414">
        <v>5</v>
      </c>
      <c r="AG153" s="414">
        <v>4</v>
      </c>
      <c r="AH153" s="414">
        <v>5</v>
      </c>
      <c r="AI153" s="502">
        <v>26</v>
      </c>
      <c r="AJ153" s="396"/>
    </row>
    <row r="154" spans="1:36" ht="15.75" customHeight="1" x14ac:dyDescent="0.3">
      <c r="A154" s="377">
        <v>134</v>
      </c>
      <c r="B154" s="381">
        <v>11134</v>
      </c>
      <c r="C154" s="378" t="s">
        <v>731</v>
      </c>
      <c r="D154" s="519" t="s">
        <v>524</v>
      </c>
      <c r="E154" s="423"/>
      <c r="F154" s="508">
        <v>2</v>
      </c>
      <c r="G154" s="393">
        <v>2</v>
      </c>
      <c r="H154" s="493"/>
      <c r="I154" s="493"/>
      <c r="J154" s="493">
        <v>1</v>
      </c>
      <c r="K154" s="493">
        <v>2</v>
      </c>
      <c r="L154" s="493">
        <v>4</v>
      </c>
      <c r="M154" s="493"/>
      <c r="N154" s="493">
        <v>2</v>
      </c>
      <c r="O154" s="493"/>
      <c r="P154" s="399"/>
      <c r="Q154" s="493">
        <v>0</v>
      </c>
      <c r="R154" s="493"/>
      <c r="S154" s="498">
        <v>0</v>
      </c>
      <c r="T154" s="498"/>
      <c r="U154" s="498"/>
      <c r="V154" s="498">
        <v>2</v>
      </c>
      <c r="W154" s="498"/>
      <c r="X154" s="498"/>
      <c r="Y154" s="498"/>
      <c r="Z154" s="498"/>
      <c r="AA154" s="337"/>
      <c r="AB154" s="393">
        <v>7</v>
      </c>
      <c r="AC154" s="396"/>
      <c r="AD154" s="414">
        <v>3</v>
      </c>
      <c r="AE154" s="414">
        <v>4</v>
      </c>
      <c r="AF154" s="414">
        <v>4</v>
      </c>
      <c r="AG154" s="414">
        <v>4</v>
      </c>
      <c r="AH154" s="414">
        <v>4</v>
      </c>
      <c r="AI154" s="502">
        <v>23</v>
      </c>
      <c r="AJ154" s="396"/>
    </row>
    <row r="155" spans="1:36" ht="15.75" customHeight="1" x14ac:dyDescent="0.3">
      <c r="A155" s="377">
        <v>135</v>
      </c>
      <c r="B155" s="381">
        <v>11135</v>
      </c>
      <c r="C155" s="378" t="s">
        <v>732</v>
      </c>
      <c r="D155" s="519" t="s">
        <v>525</v>
      </c>
      <c r="E155" s="423"/>
      <c r="F155" s="508">
        <v>2</v>
      </c>
      <c r="G155" s="393">
        <v>2</v>
      </c>
      <c r="H155" s="493"/>
      <c r="I155" s="493">
        <v>2</v>
      </c>
      <c r="J155" s="493"/>
      <c r="K155" s="493">
        <v>2</v>
      </c>
      <c r="L155" s="493">
        <v>4</v>
      </c>
      <c r="M155" s="493">
        <v>1</v>
      </c>
      <c r="N155" s="493">
        <v>4</v>
      </c>
      <c r="O155" s="493"/>
      <c r="P155" s="399"/>
      <c r="Q155" s="493">
        <v>2</v>
      </c>
      <c r="R155" s="493">
        <v>2</v>
      </c>
      <c r="S155" s="498">
        <v>0</v>
      </c>
      <c r="T155" s="498">
        <v>0</v>
      </c>
      <c r="U155" s="498">
        <v>0</v>
      </c>
      <c r="V155" s="498">
        <v>2</v>
      </c>
      <c r="W155" s="498">
        <v>0</v>
      </c>
      <c r="X155" s="498"/>
      <c r="Y155" s="498">
        <v>0</v>
      </c>
      <c r="Z155" s="498"/>
      <c r="AA155" s="395"/>
      <c r="AB155" s="393">
        <v>8</v>
      </c>
      <c r="AC155" s="396"/>
      <c r="AD155" s="414">
        <v>4</v>
      </c>
      <c r="AE155" s="414">
        <v>3</v>
      </c>
      <c r="AF155" s="414">
        <v>4</v>
      </c>
      <c r="AG155" s="414">
        <v>4</v>
      </c>
      <c r="AH155" s="414">
        <v>5</v>
      </c>
      <c r="AI155" s="502">
        <v>67</v>
      </c>
      <c r="AJ155" s="396"/>
    </row>
    <row r="156" spans="1:36" ht="15.75" customHeight="1" x14ac:dyDescent="0.3">
      <c r="A156" s="377">
        <v>136</v>
      </c>
      <c r="B156" s="381">
        <v>11136</v>
      </c>
      <c r="C156" s="378" t="s">
        <v>733</v>
      </c>
      <c r="D156" s="519" t="s">
        <v>526</v>
      </c>
      <c r="E156" s="423"/>
      <c r="F156" s="508">
        <v>2</v>
      </c>
      <c r="G156" s="393">
        <v>2</v>
      </c>
      <c r="H156" s="493">
        <v>2</v>
      </c>
      <c r="I156" s="493">
        <v>2</v>
      </c>
      <c r="J156" s="493"/>
      <c r="K156" s="493">
        <v>1</v>
      </c>
      <c r="L156" s="493">
        <v>4</v>
      </c>
      <c r="M156" s="493">
        <v>4</v>
      </c>
      <c r="N156" s="493">
        <v>4</v>
      </c>
      <c r="O156" s="493">
        <v>4</v>
      </c>
      <c r="P156" s="399"/>
      <c r="Q156" s="493">
        <v>2</v>
      </c>
      <c r="R156" s="493">
        <v>2</v>
      </c>
      <c r="S156" s="498">
        <v>2</v>
      </c>
      <c r="T156" s="498">
        <v>2</v>
      </c>
      <c r="U156" s="498">
        <v>2</v>
      </c>
      <c r="V156" s="498">
        <v>2</v>
      </c>
      <c r="W156" s="498">
        <v>4</v>
      </c>
      <c r="X156" s="498"/>
      <c r="Y156" s="498">
        <v>4</v>
      </c>
      <c r="Z156" s="498">
        <v>4</v>
      </c>
      <c r="AA156" s="399"/>
      <c r="AB156" s="393">
        <v>10</v>
      </c>
      <c r="AC156" s="397"/>
      <c r="AD156" s="414">
        <v>4</v>
      </c>
      <c r="AE156" s="414">
        <v>3</v>
      </c>
      <c r="AF156" s="414">
        <v>4</v>
      </c>
      <c r="AG156" s="414">
        <v>3</v>
      </c>
      <c r="AH156" s="414">
        <v>4</v>
      </c>
      <c r="AI156" s="502">
        <v>72</v>
      </c>
      <c r="AJ156" s="503"/>
    </row>
    <row r="157" spans="1:36" ht="15.75" customHeight="1" x14ac:dyDescent="0.3">
      <c r="A157" s="377">
        <v>137</v>
      </c>
      <c r="B157" s="381">
        <v>11137</v>
      </c>
      <c r="C157" s="378" t="s">
        <v>734</v>
      </c>
      <c r="D157" s="519" t="s">
        <v>527</v>
      </c>
      <c r="E157" s="423"/>
      <c r="F157" s="508">
        <v>1</v>
      </c>
      <c r="G157" s="393">
        <v>0</v>
      </c>
      <c r="H157" s="493">
        <v>0</v>
      </c>
      <c r="I157" s="493">
        <v>0</v>
      </c>
      <c r="J157" s="493">
        <v>0</v>
      </c>
      <c r="K157" s="493">
        <v>0</v>
      </c>
      <c r="L157" s="493">
        <v>0</v>
      </c>
      <c r="M157" s="493">
        <v>0</v>
      </c>
      <c r="N157" s="493">
        <v>0</v>
      </c>
      <c r="O157" s="493">
        <v>0</v>
      </c>
      <c r="P157" s="399"/>
      <c r="Q157" s="493">
        <v>0</v>
      </c>
      <c r="R157" s="493">
        <v>0</v>
      </c>
      <c r="S157" s="498">
        <v>0</v>
      </c>
      <c r="T157" s="498">
        <v>0</v>
      </c>
      <c r="U157" s="498"/>
      <c r="V157" s="498">
        <v>2</v>
      </c>
      <c r="W157" s="498">
        <v>0</v>
      </c>
      <c r="X157" s="498">
        <v>0</v>
      </c>
      <c r="Y157" s="498"/>
      <c r="Z157" s="498">
        <v>0</v>
      </c>
      <c r="AA157" s="395"/>
      <c r="AB157" s="393">
        <v>10</v>
      </c>
      <c r="AC157" s="396"/>
      <c r="AD157" s="414">
        <v>4</v>
      </c>
      <c r="AE157" s="414">
        <v>3</v>
      </c>
      <c r="AF157" s="414">
        <v>5</v>
      </c>
      <c r="AG157" s="414">
        <v>4</v>
      </c>
      <c r="AH157" s="414">
        <v>5</v>
      </c>
      <c r="AI157" s="502">
        <v>26</v>
      </c>
      <c r="AJ157" s="396"/>
    </row>
    <row r="158" spans="1:36" ht="15.75" customHeight="1" x14ac:dyDescent="0.3">
      <c r="A158" s="377">
        <v>138</v>
      </c>
      <c r="B158" s="381">
        <v>11138</v>
      </c>
      <c r="C158" s="378" t="s">
        <v>735</v>
      </c>
      <c r="D158" s="519" t="s">
        <v>528</v>
      </c>
      <c r="E158" s="423"/>
      <c r="F158" s="508">
        <v>2</v>
      </c>
      <c r="G158" s="393">
        <v>2</v>
      </c>
      <c r="H158" s="493">
        <v>0</v>
      </c>
      <c r="I158" s="493"/>
      <c r="J158" s="493"/>
      <c r="K158" s="493">
        <v>1</v>
      </c>
      <c r="L158" s="493">
        <v>1</v>
      </c>
      <c r="M158" s="493">
        <v>0</v>
      </c>
      <c r="N158" s="493">
        <v>0</v>
      </c>
      <c r="O158" s="493">
        <v>0</v>
      </c>
      <c r="P158" s="337"/>
      <c r="Q158" s="416" t="s">
        <v>348</v>
      </c>
      <c r="R158" s="416" t="s">
        <v>348</v>
      </c>
      <c r="S158" s="416" t="s">
        <v>348</v>
      </c>
      <c r="T158" s="416" t="s">
        <v>348</v>
      </c>
      <c r="U158" s="416" t="s">
        <v>348</v>
      </c>
      <c r="V158" s="416" t="s">
        <v>348</v>
      </c>
      <c r="W158" s="416" t="s">
        <v>348</v>
      </c>
      <c r="X158" s="416" t="s">
        <v>348</v>
      </c>
      <c r="Y158" s="416" t="s">
        <v>348</v>
      </c>
      <c r="Z158" s="416" t="s">
        <v>348</v>
      </c>
      <c r="AA158" s="395"/>
      <c r="AB158" s="393">
        <v>10</v>
      </c>
      <c r="AC158" s="396"/>
      <c r="AD158" s="414">
        <v>4</v>
      </c>
      <c r="AE158" s="414">
        <v>3</v>
      </c>
      <c r="AF158" s="414">
        <v>3</v>
      </c>
      <c r="AG158" s="414">
        <v>4</v>
      </c>
      <c r="AH158" s="414">
        <v>3</v>
      </c>
      <c r="AI158" s="502">
        <v>19</v>
      </c>
      <c r="AJ158" s="396"/>
    </row>
    <row r="159" spans="1:36" ht="15.75" customHeight="1" x14ac:dyDescent="0.3">
      <c r="A159" s="377">
        <v>139</v>
      </c>
      <c r="B159" s="381">
        <v>11139</v>
      </c>
      <c r="C159" s="378" t="s">
        <v>736</v>
      </c>
      <c r="D159" s="519" t="s">
        <v>529</v>
      </c>
      <c r="E159" s="423"/>
      <c r="F159" s="508">
        <v>2</v>
      </c>
      <c r="G159" s="393">
        <v>0</v>
      </c>
      <c r="H159" s="493">
        <v>0</v>
      </c>
      <c r="I159" s="493">
        <v>0</v>
      </c>
      <c r="J159" s="493"/>
      <c r="K159" s="493"/>
      <c r="L159" s="493">
        <v>1</v>
      </c>
      <c r="M159" s="493"/>
      <c r="N159" s="493"/>
      <c r="O159" s="493">
        <v>0</v>
      </c>
      <c r="P159" s="337"/>
      <c r="Q159" s="493">
        <v>0</v>
      </c>
      <c r="R159" s="493">
        <v>0</v>
      </c>
      <c r="S159" s="498"/>
      <c r="T159" s="498">
        <v>0</v>
      </c>
      <c r="U159" s="498"/>
      <c r="V159" s="498">
        <v>1</v>
      </c>
      <c r="W159" s="498"/>
      <c r="X159" s="498"/>
      <c r="Y159" s="498"/>
      <c r="Z159" s="498"/>
      <c r="AA159" s="395"/>
      <c r="AB159" s="393">
        <v>10</v>
      </c>
      <c r="AC159" s="396"/>
      <c r="AD159" s="414">
        <v>5</v>
      </c>
      <c r="AE159" s="414">
        <v>4</v>
      </c>
      <c r="AF159" s="414">
        <v>5</v>
      </c>
      <c r="AG159" s="414">
        <v>4</v>
      </c>
      <c r="AH159" s="414">
        <v>5</v>
      </c>
      <c r="AI159" s="502">
        <v>22</v>
      </c>
      <c r="AJ159" s="396"/>
    </row>
    <row r="160" spans="1:36" ht="15.75" customHeight="1" x14ac:dyDescent="0.3">
      <c r="A160" s="377">
        <v>140</v>
      </c>
      <c r="B160" s="381">
        <v>11140</v>
      </c>
      <c r="C160" s="378" t="s">
        <v>737</v>
      </c>
      <c r="D160" s="519" t="s">
        <v>530</v>
      </c>
      <c r="E160" s="423"/>
      <c r="F160" s="508">
        <v>1</v>
      </c>
      <c r="G160" s="393">
        <v>2</v>
      </c>
      <c r="H160" s="493">
        <v>0</v>
      </c>
      <c r="I160" s="493">
        <v>0</v>
      </c>
      <c r="J160" s="493"/>
      <c r="K160" s="493"/>
      <c r="L160" s="493">
        <v>0</v>
      </c>
      <c r="M160" s="493"/>
      <c r="N160" s="493"/>
      <c r="O160" s="493">
        <v>0</v>
      </c>
      <c r="P160" s="337"/>
      <c r="Q160" s="493">
        <v>0</v>
      </c>
      <c r="R160" s="493">
        <v>0</v>
      </c>
      <c r="S160" s="498"/>
      <c r="T160" s="498">
        <v>0</v>
      </c>
      <c r="U160" s="498"/>
      <c r="V160" s="498">
        <v>0</v>
      </c>
      <c r="W160" s="498"/>
      <c r="X160" s="498"/>
      <c r="Y160" s="498"/>
      <c r="Z160" s="498">
        <v>1</v>
      </c>
      <c r="AA160" s="337"/>
      <c r="AB160" s="393">
        <v>10</v>
      </c>
      <c r="AC160" s="396"/>
      <c r="AD160" s="414">
        <v>4</v>
      </c>
      <c r="AE160" s="414">
        <v>2</v>
      </c>
      <c r="AF160" s="414">
        <v>4</v>
      </c>
      <c r="AG160" s="414">
        <v>3</v>
      </c>
      <c r="AH160" s="414">
        <v>5</v>
      </c>
      <c r="AI160" s="502">
        <v>12</v>
      </c>
      <c r="AJ160" s="396"/>
    </row>
    <row r="161" spans="1:36" ht="15.75" customHeight="1" x14ac:dyDescent="0.3">
      <c r="A161" s="377">
        <v>141</v>
      </c>
      <c r="B161" s="381">
        <v>11141</v>
      </c>
      <c r="C161" s="378" t="s">
        <v>738</v>
      </c>
      <c r="D161" s="519" t="s">
        <v>531</v>
      </c>
      <c r="E161" s="423"/>
      <c r="F161" s="508">
        <v>2</v>
      </c>
      <c r="G161" s="393">
        <v>2</v>
      </c>
      <c r="H161" s="493">
        <v>2</v>
      </c>
      <c r="I161" s="493"/>
      <c r="J161" s="493"/>
      <c r="K161" s="493"/>
      <c r="L161" s="493">
        <v>4</v>
      </c>
      <c r="M161" s="493"/>
      <c r="N161" s="493"/>
      <c r="O161" s="493"/>
      <c r="P161" s="337"/>
      <c r="Q161" s="493">
        <v>0</v>
      </c>
      <c r="R161" s="493">
        <v>0</v>
      </c>
      <c r="S161" s="498"/>
      <c r="T161" s="498"/>
      <c r="U161" s="498"/>
      <c r="V161" s="498"/>
      <c r="W161" s="498"/>
      <c r="X161" s="498"/>
      <c r="Y161" s="498"/>
      <c r="Z161" s="498"/>
      <c r="AA161" s="337"/>
      <c r="AB161" s="393">
        <v>7</v>
      </c>
      <c r="AC161" s="397"/>
      <c r="AD161" s="414">
        <v>4</v>
      </c>
      <c r="AE161" s="414">
        <v>4</v>
      </c>
      <c r="AF161" s="414">
        <v>4</v>
      </c>
      <c r="AG161" s="414">
        <v>4</v>
      </c>
      <c r="AH161" s="414">
        <v>4</v>
      </c>
      <c r="AI161" s="502">
        <v>21</v>
      </c>
      <c r="AJ161" s="503"/>
    </row>
    <row r="162" spans="1:36" ht="15.75" customHeight="1" x14ac:dyDescent="0.3">
      <c r="A162" s="377">
        <v>142</v>
      </c>
      <c r="B162" s="381">
        <v>11142</v>
      </c>
      <c r="C162" s="378" t="s">
        <v>739</v>
      </c>
      <c r="D162" s="519" t="s">
        <v>532</v>
      </c>
      <c r="E162" s="423"/>
      <c r="F162" s="508">
        <v>1</v>
      </c>
      <c r="G162" s="393">
        <v>2</v>
      </c>
      <c r="H162" s="493"/>
      <c r="I162" s="493"/>
      <c r="J162" s="493">
        <v>0</v>
      </c>
      <c r="K162" s="493">
        <v>1</v>
      </c>
      <c r="L162" s="493"/>
      <c r="M162" s="493">
        <v>1</v>
      </c>
      <c r="N162" s="493"/>
      <c r="O162" s="493"/>
      <c r="P162" s="337"/>
      <c r="Q162" s="493">
        <v>0</v>
      </c>
      <c r="R162" s="493"/>
      <c r="S162" s="498"/>
      <c r="T162" s="498"/>
      <c r="U162" s="498"/>
      <c r="V162" s="498"/>
      <c r="W162" s="498"/>
      <c r="X162" s="498"/>
      <c r="Y162" s="498"/>
      <c r="Z162" s="498"/>
      <c r="AA162" s="395"/>
      <c r="AB162" s="393">
        <v>9</v>
      </c>
      <c r="AC162" s="396"/>
      <c r="AD162" s="414">
        <v>3</v>
      </c>
      <c r="AE162" s="414">
        <v>4</v>
      </c>
      <c r="AF162" s="414">
        <v>4</v>
      </c>
      <c r="AG162" s="414">
        <v>3</v>
      </c>
      <c r="AH162" s="414">
        <v>4</v>
      </c>
      <c r="AI162" s="502">
        <v>16</v>
      </c>
      <c r="AJ162" s="396"/>
    </row>
    <row r="163" spans="1:36" ht="15.75" customHeight="1" x14ac:dyDescent="0.3">
      <c r="A163" s="377">
        <v>143</v>
      </c>
      <c r="B163" s="381">
        <v>11143</v>
      </c>
      <c r="C163" s="378" t="s">
        <v>740</v>
      </c>
      <c r="D163" s="519" t="s">
        <v>533</v>
      </c>
      <c r="E163" s="423"/>
      <c r="F163" s="508">
        <v>0</v>
      </c>
      <c r="G163" s="393">
        <v>1</v>
      </c>
      <c r="H163" s="493">
        <v>0</v>
      </c>
      <c r="I163" s="493"/>
      <c r="J163" s="493"/>
      <c r="K163" s="493">
        <v>1</v>
      </c>
      <c r="L163" s="493">
        <v>0</v>
      </c>
      <c r="M163" s="493">
        <v>1</v>
      </c>
      <c r="N163" s="493"/>
      <c r="O163" s="493"/>
      <c r="P163" s="337"/>
      <c r="Q163" s="493">
        <v>0</v>
      </c>
      <c r="R163" s="493">
        <v>0</v>
      </c>
      <c r="S163" s="498">
        <v>1</v>
      </c>
      <c r="T163" s="498"/>
      <c r="U163" s="498"/>
      <c r="V163" s="498">
        <v>2</v>
      </c>
      <c r="W163" s="498">
        <v>0</v>
      </c>
      <c r="X163" s="498">
        <v>0</v>
      </c>
      <c r="Y163" s="498">
        <v>0</v>
      </c>
      <c r="Z163" s="498"/>
      <c r="AA163" s="395"/>
      <c r="AB163" s="393">
        <v>9</v>
      </c>
      <c r="AC163" s="396"/>
      <c r="AD163" s="414">
        <v>5</v>
      </c>
      <c r="AE163" s="414">
        <v>4</v>
      </c>
      <c r="AF163" s="414">
        <v>5</v>
      </c>
      <c r="AG163" s="414">
        <v>4</v>
      </c>
      <c r="AH163" s="414">
        <v>5</v>
      </c>
      <c r="AI163" s="502">
        <v>18</v>
      </c>
      <c r="AJ163" s="396"/>
    </row>
    <row r="164" spans="1:36" ht="15.75" customHeight="1" x14ac:dyDescent="0.3">
      <c r="A164" s="377">
        <v>144</v>
      </c>
      <c r="B164" s="381">
        <v>11144</v>
      </c>
      <c r="C164" s="378" t="s">
        <v>741</v>
      </c>
      <c r="D164" s="519" t="s">
        <v>534</v>
      </c>
      <c r="E164" s="423"/>
      <c r="F164" s="508">
        <v>2</v>
      </c>
      <c r="G164" s="393"/>
      <c r="H164" s="493"/>
      <c r="I164" s="493"/>
      <c r="J164" s="493">
        <v>0</v>
      </c>
      <c r="K164" s="493">
        <v>0</v>
      </c>
      <c r="L164" s="493">
        <v>0</v>
      </c>
      <c r="M164" s="493">
        <v>1</v>
      </c>
      <c r="N164" s="493"/>
      <c r="O164" s="493">
        <v>0</v>
      </c>
      <c r="P164" s="337"/>
      <c r="Q164" s="493">
        <v>1</v>
      </c>
      <c r="R164" s="493"/>
      <c r="S164" s="498"/>
      <c r="T164" s="498"/>
      <c r="U164" s="498"/>
      <c r="V164" s="498"/>
      <c r="W164" s="498"/>
      <c r="X164" s="498"/>
      <c r="Y164" s="498"/>
      <c r="Z164" s="498"/>
      <c r="AA164" s="337"/>
      <c r="AB164" s="393">
        <v>10</v>
      </c>
      <c r="AC164" s="397"/>
      <c r="AD164" s="414">
        <v>3</v>
      </c>
      <c r="AE164" s="414">
        <v>4</v>
      </c>
      <c r="AF164" s="414">
        <v>3</v>
      </c>
      <c r="AG164" s="414">
        <v>4</v>
      </c>
      <c r="AH164" s="414">
        <v>4</v>
      </c>
      <c r="AI164" s="502">
        <v>27</v>
      </c>
      <c r="AJ164" s="503"/>
    </row>
    <row r="165" spans="1:36" ht="15.75" customHeight="1" x14ac:dyDescent="0.3">
      <c r="A165" s="377">
        <v>145</v>
      </c>
      <c r="B165" s="381">
        <v>11145</v>
      </c>
      <c r="C165" s="378" t="s">
        <v>742</v>
      </c>
      <c r="D165" s="519" t="s">
        <v>535</v>
      </c>
      <c r="E165" s="423"/>
      <c r="F165" s="508">
        <v>0</v>
      </c>
      <c r="G165" s="393">
        <v>0</v>
      </c>
      <c r="H165" s="493">
        <v>0</v>
      </c>
      <c r="I165" s="493">
        <v>0</v>
      </c>
      <c r="J165" s="493"/>
      <c r="K165" s="493"/>
      <c r="L165" s="493"/>
      <c r="M165" s="493">
        <v>0</v>
      </c>
      <c r="N165" s="493">
        <v>0</v>
      </c>
      <c r="O165" s="493">
        <v>0</v>
      </c>
      <c r="P165" s="337"/>
      <c r="Q165" s="493">
        <v>0</v>
      </c>
      <c r="R165" s="493">
        <v>0</v>
      </c>
      <c r="S165" s="498">
        <v>1</v>
      </c>
      <c r="T165" s="498"/>
      <c r="U165" s="498">
        <v>0</v>
      </c>
      <c r="V165" s="498"/>
      <c r="W165" s="498"/>
      <c r="X165" s="498"/>
      <c r="Y165" s="498"/>
      <c r="Z165" s="498"/>
      <c r="AA165" s="395"/>
      <c r="AB165" s="385">
        <v>10</v>
      </c>
      <c r="AC165" s="396"/>
      <c r="AD165" s="414">
        <v>3</v>
      </c>
      <c r="AE165" s="414">
        <v>3</v>
      </c>
      <c r="AF165" s="414">
        <v>2</v>
      </c>
      <c r="AG165" s="414">
        <v>4</v>
      </c>
      <c r="AH165" s="414">
        <v>2</v>
      </c>
      <c r="AI165" s="502">
        <v>12</v>
      </c>
      <c r="AJ165" s="396"/>
    </row>
    <row r="166" spans="1:36" ht="15.75" customHeight="1" x14ac:dyDescent="0.3">
      <c r="A166" s="377">
        <v>146</v>
      </c>
      <c r="B166" s="381">
        <v>11146</v>
      </c>
      <c r="C166" s="378" t="s">
        <v>743</v>
      </c>
      <c r="D166" s="519" t="s">
        <v>536</v>
      </c>
      <c r="E166" s="423"/>
      <c r="F166" s="508">
        <v>1</v>
      </c>
      <c r="G166" s="393">
        <v>2</v>
      </c>
      <c r="H166" s="493">
        <v>0</v>
      </c>
      <c r="I166" s="493"/>
      <c r="J166" s="493"/>
      <c r="K166" s="493">
        <v>1</v>
      </c>
      <c r="L166" s="493">
        <v>1</v>
      </c>
      <c r="M166" s="493">
        <v>4</v>
      </c>
      <c r="N166" s="493">
        <v>2</v>
      </c>
      <c r="O166" s="493"/>
      <c r="P166" s="395"/>
      <c r="Q166" s="493"/>
      <c r="R166" s="493">
        <v>0</v>
      </c>
      <c r="S166" s="498">
        <v>2</v>
      </c>
      <c r="T166" s="498">
        <v>1</v>
      </c>
      <c r="U166" s="498"/>
      <c r="V166" s="498">
        <v>1</v>
      </c>
      <c r="W166" s="498"/>
      <c r="X166" s="498"/>
      <c r="Y166" s="498"/>
      <c r="Z166" s="498"/>
      <c r="AA166" s="395"/>
      <c r="AB166" s="393">
        <v>6</v>
      </c>
      <c r="AC166" s="397"/>
      <c r="AD166" s="414">
        <v>4</v>
      </c>
      <c r="AE166" s="414">
        <v>4</v>
      </c>
      <c r="AF166" s="414">
        <v>4</v>
      </c>
      <c r="AG166" s="414">
        <v>4</v>
      </c>
      <c r="AH166" s="414">
        <v>5</v>
      </c>
      <c r="AI166" s="502">
        <v>21</v>
      </c>
      <c r="AJ166" s="397"/>
    </row>
    <row r="167" spans="1:36" ht="15.75" customHeight="1" x14ac:dyDescent="0.3">
      <c r="A167" s="377">
        <v>147</v>
      </c>
      <c r="B167" s="381">
        <v>11147</v>
      </c>
      <c r="C167" s="378" t="s">
        <v>744</v>
      </c>
      <c r="D167" s="519" t="s">
        <v>537</v>
      </c>
      <c r="E167" s="423"/>
      <c r="F167" s="508">
        <v>2</v>
      </c>
      <c r="G167" s="393">
        <v>2</v>
      </c>
      <c r="H167" s="493">
        <v>1</v>
      </c>
      <c r="I167" s="493">
        <v>0</v>
      </c>
      <c r="J167" s="493"/>
      <c r="K167" s="493"/>
      <c r="L167" s="493">
        <v>3</v>
      </c>
      <c r="M167" s="493">
        <v>0</v>
      </c>
      <c r="N167" s="493">
        <v>0</v>
      </c>
      <c r="O167" s="493"/>
      <c r="P167" s="395"/>
      <c r="Q167" s="493"/>
      <c r="R167" s="493">
        <v>0</v>
      </c>
      <c r="S167" s="498"/>
      <c r="T167" s="498">
        <v>0</v>
      </c>
      <c r="U167" s="498">
        <v>1</v>
      </c>
      <c r="V167" s="498">
        <v>0</v>
      </c>
      <c r="W167" s="498">
        <v>0</v>
      </c>
      <c r="X167" s="498"/>
      <c r="Y167" s="498">
        <v>4</v>
      </c>
      <c r="Z167" s="498">
        <v>0</v>
      </c>
      <c r="AA167" s="395"/>
      <c r="AB167" s="393">
        <v>6</v>
      </c>
      <c r="AC167" s="199"/>
      <c r="AD167" s="414">
        <v>4</v>
      </c>
      <c r="AE167" s="414">
        <v>4</v>
      </c>
      <c r="AF167" s="414">
        <v>4</v>
      </c>
      <c r="AG167" s="414">
        <v>4</v>
      </c>
      <c r="AH167" s="414">
        <v>5</v>
      </c>
      <c r="AI167" s="502">
        <v>32</v>
      </c>
      <c r="AJ167" s="199"/>
    </row>
    <row r="168" spans="1:36" ht="15.75" customHeight="1" x14ac:dyDescent="0.3">
      <c r="A168" s="377">
        <v>148</v>
      </c>
      <c r="B168" s="381">
        <v>11148</v>
      </c>
      <c r="C168" s="378" t="s">
        <v>745</v>
      </c>
      <c r="D168" s="519" t="s">
        <v>538</v>
      </c>
      <c r="E168" s="423"/>
      <c r="F168" s="508">
        <v>2</v>
      </c>
      <c r="G168" s="393"/>
      <c r="H168" s="493">
        <v>1</v>
      </c>
      <c r="I168" s="493">
        <v>2</v>
      </c>
      <c r="J168" s="493"/>
      <c r="K168" s="493">
        <v>1</v>
      </c>
      <c r="L168" s="493"/>
      <c r="M168" s="493">
        <v>3</v>
      </c>
      <c r="N168" s="493"/>
      <c r="O168" s="493">
        <v>3</v>
      </c>
      <c r="P168" s="199"/>
      <c r="Q168" s="493"/>
      <c r="R168" s="493">
        <v>2</v>
      </c>
      <c r="S168" s="498"/>
      <c r="T168" s="498"/>
      <c r="U168" s="498">
        <v>0</v>
      </c>
      <c r="V168" s="498"/>
      <c r="W168" s="498"/>
      <c r="X168" s="498"/>
      <c r="Y168" s="498">
        <v>0</v>
      </c>
      <c r="Z168" s="498"/>
      <c r="AA168" s="337"/>
      <c r="AB168" s="393">
        <v>6</v>
      </c>
      <c r="AC168" s="199"/>
      <c r="AD168" s="414">
        <v>5</v>
      </c>
      <c r="AE168" s="414">
        <v>5</v>
      </c>
      <c r="AF168" s="414">
        <v>5</v>
      </c>
      <c r="AG168" s="414">
        <v>5</v>
      </c>
      <c r="AH168" s="414">
        <v>5</v>
      </c>
      <c r="AI168" s="502">
        <v>30</v>
      </c>
      <c r="AJ168" s="199"/>
    </row>
    <row r="169" spans="1:36" ht="15.75" customHeight="1" x14ac:dyDescent="0.3">
      <c r="A169" s="377">
        <v>149</v>
      </c>
      <c r="B169" s="381">
        <v>11149</v>
      </c>
      <c r="C169" s="378" t="s">
        <v>746</v>
      </c>
      <c r="D169" s="519" t="s">
        <v>539</v>
      </c>
      <c r="E169" s="423"/>
      <c r="F169" s="508">
        <v>1</v>
      </c>
      <c r="G169" s="393">
        <v>0</v>
      </c>
      <c r="H169" s="493">
        <v>2</v>
      </c>
      <c r="I169" s="493">
        <v>0</v>
      </c>
      <c r="J169" s="493"/>
      <c r="K169" s="493"/>
      <c r="L169" s="493">
        <v>0</v>
      </c>
      <c r="M169" s="493"/>
      <c r="N169" s="493"/>
      <c r="O169" s="493">
        <v>0</v>
      </c>
      <c r="P169" s="199"/>
      <c r="Q169" s="493">
        <v>1</v>
      </c>
      <c r="R169" s="493">
        <v>1</v>
      </c>
      <c r="S169" s="498">
        <v>1</v>
      </c>
      <c r="T169" s="498"/>
      <c r="U169" s="498">
        <v>1</v>
      </c>
      <c r="V169" s="498"/>
      <c r="W169" s="498">
        <v>3</v>
      </c>
      <c r="X169" s="498"/>
      <c r="Y169" s="498">
        <v>3</v>
      </c>
      <c r="Z169" s="498"/>
      <c r="AA169" s="337"/>
      <c r="AB169" s="393">
        <v>6</v>
      </c>
      <c r="AC169" s="199"/>
      <c r="AD169" s="414">
        <v>5</v>
      </c>
      <c r="AE169" s="414">
        <v>4</v>
      </c>
      <c r="AF169" s="414">
        <v>5</v>
      </c>
      <c r="AG169" s="414">
        <v>4</v>
      </c>
      <c r="AH169" s="414">
        <v>5</v>
      </c>
      <c r="AI169" s="502">
        <v>22</v>
      </c>
      <c r="AJ169" s="199"/>
    </row>
    <row r="170" spans="1:36" ht="15.75" customHeight="1" x14ac:dyDescent="0.3">
      <c r="A170" s="377">
        <v>150</v>
      </c>
      <c r="B170" s="381">
        <v>11150</v>
      </c>
      <c r="C170" s="378" t="s">
        <v>747</v>
      </c>
      <c r="D170" s="519" t="s">
        <v>540</v>
      </c>
      <c r="E170" s="423"/>
      <c r="F170" s="508">
        <v>2</v>
      </c>
      <c r="G170" s="393"/>
      <c r="H170" s="493"/>
      <c r="I170" s="493">
        <v>0</v>
      </c>
      <c r="J170" s="493">
        <v>2</v>
      </c>
      <c r="K170" s="493">
        <v>0</v>
      </c>
      <c r="L170" s="493">
        <v>0</v>
      </c>
      <c r="M170" s="493">
        <v>0</v>
      </c>
      <c r="N170" s="493"/>
      <c r="O170" s="493">
        <v>0</v>
      </c>
      <c r="P170" s="199"/>
      <c r="Q170" s="493">
        <v>0</v>
      </c>
      <c r="R170" s="493"/>
      <c r="S170" s="498">
        <v>0</v>
      </c>
      <c r="T170" s="498">
        <v>0</v>
      </c>
      <c r="U170" s="498"/>
      <c r="V170" s="498"/>
      <c r="W170" s="498"/>
      <c r="X170" s="498"/>
      <c r="Y170" s="498"/>
      <c r="Z170" s="498"/>
      <c r="AA170" s="337"/>
      <c r="AB170" s="393">
        <v>10</v>
      </c>
      <c r="AC170" s="199"/>
      <c r="AD170" s="414">
        <v>2</v>
      </c>
      <c r="AE170" s="414">
        <v>2</v>
      </c>
      <c r="AF170" s="414">
        <v>2</v>
      </c>
      <c r="AG170" s="414">
        <v>3</v>
      </c>
      <c r="AH170" s="414">
        <v>5</v>
      </c>
      <c r="AI170" s="502">
        <v>24</v>
      </c>
      <c r="AJ170" s="199"/>
    </row>
    <row r="171" spans="1:36" ht="15.75" customHeight="1" x14ac:dyDescent="0.3">
      <c r="A171" s="377">
        <v>151</v>
      </c>
      <c r="B171" s="381">
        <v>11151</v>
      </c>
      <c r="C171" s="378" t="s">
        <v>748</v>
      </c>
      <c r="D171" s="519" t="s">
        <v>541</v>
      </c>
      <c r="E171" s="423"/>
      <c r="F171" s="508">
        <v>2</v>
      </c>
      <c r="G171" s="393">
        <v>2</v>
      </c>
      <c r="H171" s="493">
        <v>1</v>
      </c>
      <c r="I171" s="493">
        <v>2</v>
      </c>
      <c r="J171" s="493">
        <v>2</v>
      </c>
      <c r="K171" s="493"/>
      <c r="L171" s="493"/>
      <c r="M171" s="493"/>
      <c r="N171" s="493"/>
      <c r="O171" s="493">
        <v>1</v>
      </c>
      <c r="P171" s="199"/>
      <c r="Q171" s="493">
        <v>2</v>
      </c>
      <c r="R171" s="493">
        <v>0</v>
      </c>
      <c r="S171" s="498">
        <v>1</v>
      </c>
      <c r="T171" s="498"/>
      <c r="U171" s="498">
        <v>1</v>
      </c>
      <c r="V171" s="498"/>
      <c r="W171" s="498"/>
      <c r="X171" s="498">
        <v>0</v>
      </c>
      <c r="Y171" s="498">
        <v>1</v>
      </c>
      <c r="Z171" s="498"/>
      <c r="AA171" s="337"/>
      <c r="AB171" s="393">
        <v>8</v>
      </c>
      <c r="AC171" s="199"/>
      <c r="AD171" s="414">
        <v>4</v>
      </c>
      <c r="AE171" s="414">
        <v>4</v>
      </c>
      <c r="AF171" s="414">
        <v>4</v>
      </c>
      <c r="AG171" s="414">
        <v>4</v>
      </c>
      <c r="AH171" s="414">
        <v>4</v>
      </c>
      <c r="AI171" s="502">
        <v>31</v>
      </c>
      <c r="AJ171" s="199"/>
    </row>
    <row r="172" spans="1:36" ht="15.75" customHeight="1" x14ac:dyDescent="0.3">
      <c r="A172" s="377">
        <v>152</v>
      </c>
      <c r="B172" s="381">
        <v>11152</v>
      </c>
      <c r="C172" s="378" t="s">
        <v>749</v>
      </c>
      <c r="D172" s="519" t="s">
        <v>542</v>
      </c>
      <c r="E172" s="423"/>
      <c r="F172" s="508">
        <v>2</v>
      </c>
      <c r="G172" s="393"/>
      <c r="H172" s="493">
        <v>2</v>
      </c>
      <c r="I172" s="493"/>
      <c r="J172" s="493"/>
      <c r="K172" s="493">
        <v>0</v>
      </c>
      <c r="L172" s="493">
        <v>0</v>
      </c>
      <c r="M172" s="493">
        <v>4</v>
      </c>
      <c r="N172" s="493">
        <v>3</v>
      </c>
      <c r="O172" s="493"/>
      <c r="P172" s="199"/>
      <c r="Q172" s="493">
        <v>2</v>
      </c>
      <c r="R172" s="493">
        <v>0</v>
      </c>
      <c r="S172" s="498"/>
      <c r="T172" s="498"/>
      <c r="U172" s="498">
        <v>0</v>
      </c>
      <c r="V172" s="498">
        <v>2</v>
      </c>
      <c r="W172" s="498">
        <v>1</v>
      </c>
      <c r="X172" s="498">
        <v>0</v>
      </c>
      <c r="Y172" s="498">
        <v>0</v>
      </c>
      <c r="Z172" s="498"/>
      <c r="AA172" s="337"/>
      <c r="AB172" s="393">
        <v>6</v>
      </c>
      <c r="AC172" s="199"/>
      <c r="AD172" s="414">
        <v>5</v>
      </c>
      <c r="AE172" s="414">
        <v>3</v>
      </c>
      <c r="AF172" s="414">
        <v>3</v>
      </c>
      <c r="AG172" s="414">
        <v>5</v>
      </c>
      <c r="AH172" s="414">
        <v>4</v>
      </c>
      <c r="AI172" s="502">
        <v>22</v>
      </c>
      <c r="AJ172" s="199"/>
    </row>
    <row r="173" spans="1:36" ht="15.75" customHeight="1" x14ac:dyDescent="0.3">
      <c r="A173" s="377">
        <v>153</v>
      </c>
      <c r="B173" s="381">
        <v>11153</v>
      </c>
      <c r="C173" s="378" t="s">
        <v>750</v>
      </c>
      <c r="D173" s="519" t="s">
        <v>543</v>
      </c>
      <c r="E173" s="423"/>
      <c r="F173" s="508">
        <v>2</v>
      </c>
      <c r="G173" s="393">
        <v>2</v>
      </c>
      <c r="H173" s="493">
        <v>1</v>
      </c>
      <c r="I173" s="493">
        <v>2</v>
      </c>
      <c r="J173" s="493"/>
      <c r="K173" s="493"/>
      <c r="L173" s="493"/>
      <c r="M173" s="493">
        <v>0</v>
      </c>
      <c r="N173" s="493"/>
      <c r="O173" s="493">
        <v>2</v>
      </c>
      <c r="P173" s="199"/>
      <c r="Q173" s="493">
        <v>1</v>
      </c>
      <c r="R173" s="493"/>
      <c r="S173" s="498">
        <v>2</v>
      </c>
      <c r="T173" s="498"/>
      <c r="U173" s="498">
        <v>1</v>
      </c>
      <c r="V173" s="498">
        <v>2</v>
      </c>
      <c r="W173" s="498">
        <v>4</v>
      </c>
      <c r="X173" s="498">
        <v>4</v>
      </c>
      <c r="Y173" s="498">
        <v>4</v>
      </c>
      <c r="Z173" s="498"/>
      <c r="AA173" s="337"/>
      <c r="AB173" s="393">
        <v>8</v>
      </c>
      <c r="AC173" s="199"/>
      <c r="AD173" s="414">
        <v>4</v>
      </c>
      <c r="AE173" s="414">
        <v>2</v>
      </c>
      <c r="AF173" s="414">
        <v>3</v>
      </c>
      <c r="AG173" s="414">
        <v>3</v>
      </c>
      <c r="AH173" s="414">
        <v>3</v>
      </c>
      <c r="AI173" s="502">
        <v>40</v>
      </c>
      <c r="AJ173" s="199"/>
    </row>
    <row r="174" spans="1:36" ht="15.75" customHeight="1" x14ac:dyDescent="0.3">
      <c r="A174" s="377">
        <v>154</v>
      </c>
      <c r="B174" s="381">
        <v>11154</v>
      </c>
      <c r="C174" s="378" t="s">
        <v>751</v>
      </c>
      <c r="D174" s="519" t="s">
        <v>544</v>
      </c>
      <c r="E174" s="423"/>
      <c r="F174" s="508">
        <v>2</v>
      </c>
      <c r="G174" s="393">
        <v>1</v>
      </c>
      <c r="H174" s="493"/>
      <c r="I174" s="493"/>
      <c r="J174" s="493"/>
      <c r="K174" s="493">
        <v>2</v>
      </c>
      <c r="L174" s="493">
        <v>0</v>
      </c>
      <c r="M174" s="493">
        <v>0</v>
      </c>
      <c r="N174" s="493"/>
      <c r="O174" s="493">
        <v>0</v>
      </c>
      <c r="P174" s="199"/>
      <c r="Q174" s="493"/>
      <c r="R174" s="493">
        <v>0</v>
      </c>
      <c r="S174" s="498">
        <v>2</v>
      </c>
      <c r="T174" s="498"/>
      <c r="U174" s="498">
        <v>0</v>
      </c>
      <c r="V174" s="498">
        <v>0</v>
      </c>
      <c r="W174" s="498">
        <v>0</v>
      </c>
      <c r="X174" s="498"/>
      <c r="Y174" s="498"/>
      <c r="Z174" s="498"/>
      <c r="AA174" s="337"/>
      <c r="AB174" s="393">
        <v>8</v>
      </c>
      <c r="AC174" s="199"/>
      <c r="AD174" s="414">
        <v>3</v>
      </c>
      <c r="AE174" s="414">
        <v>3</v>
      </c>
      <c r="AF174" s="414">
        <v>3</v>
      </c>
      <c r="AG174" s="414">
        <v>3</v>
      </c>
      <c r="AH174" s="414">
        <v>3</v>
      </c>
      <c r="AI174" s="502">
        <v>14</v>
      </c>
      <c r="AJ174" s="199"/>
    </row>
    <row r="175" spans="1:36" ht="15.75" customHeight="1" x14ac:dyDescent="0.3">
      <c r="A175" s="377">
        <v>155</v>
      </c>
      <c r="B175" s="381">
        <v>11155</v>
      </c>
      <c r="C175" s="378" t="s">
        <v>752</v>
      </c>
      <c r="D175" s="519" t="s">
        <v>545</v>
      </c>
      <c r="E175" s="423"/>
      <c r="F175" s="508">
        <v>2</v>
      </c>
      <c r="G175" s="393">
        <v>2</v>
      </c>
      <c r="H175" s="493">
        <v>1</v>
      </c>
      <c r="I175" s="493">
        <v>2</v>
      </c>
      <c r="J175" s="493"/>
      <c r="K175" s="493"/>
      <c r="L175" s="493">
        <v>1</v>
      </c>
      <c r="M175" s="493">
        <v>4</v>
      </c>
      <c r="N175" s="493"/>
      <c r="O175" s="493">
        <v>2</v>
      </c>
      <c r="P175" s="199"/>
      <c r="Q175" s="493">
        <v>2</v>
      </c>
      <c r="R175" s="493">
        <v>2</v>
      </c>
      <c r="S175" s="498"/>
      <c r="T175" s="498"/>
      <c r="U175" s="498">
        <v>1</v>
      </c>
      <c r="V175" s="498"/>
      <c r="W175" s="498"/>
      <c r="X175" s="498"/>
      <c r="Y175" s="498"/>
      <c r="Z175" s="498"/>
      <c r="AA175" s="337"/>
      <c r="AB175" s="393">
        <v>7</v>
      </c>
      <c r="AC175" s="199"/>
      <c r="AD175" s="414">
        <v>5</v>
      </c>
      <c r="AE175" s="414">
        <v>5</v>
      </c>
      <c r="AF175" s="414">
        <v>5</v>
      </c>
      <c r="AG175" s="414">
        <v>5</v>
      </c>
      <c r="AH175" s="414">
        <v>5</v>
      </c>
      <c r="AI175" s="502">
        <v>35</v>
      </c>
      <c r="AJ175" s="199"/>
    </row>
    <row r="176" spans="1:36" ht="15.75" customHeight="1" x14ac:dyDescent="0.3">
      <c r="A176" s="377">
        <v>156</v>
      </c>
      <c r="B176" s="381">
        <v>11156</v>
      </c>
      <c r="C176" s="378" t="s">
        <v>753</v>
      </c>
      <c r="D176" s="519" t="s">
        <v>546</v>
      </c>
      <c r="E176" s="423"/>
      <c r="F176" s="508">
        <v>2</v>
      </c>
      <c r="G176" s="393">
        <v>2</v>
      </c>
      <c r="H176" s="493">
        <v>2</v>
      </c>
      <c r="I176" s="493"/>
      <c r="J176" s="493">
        <v>1</v>
      </c>
      <c r="K176" s="493"/>
      <c r="L176" s="493">
        <v>4</v>
      </c>
      <c r="M176" s="493">
        <v>0</v>
      </c>
      <c r="N176" s="493"/>
      <c r="O176" s="493">
        <v>2</v>
      </c>
      <c r="P176" s="199"/>
      <c r="Q176" s="493">
        <v>2</v>
      </c>
      <c r="R176" s="493">
        <v>2</v>
      </c>
      <c r="S176" s="498"/>
      <c r="T176" s="498">
        <v>0</v>
      </c>
      <c r="U176" s="498">
        <v>0</v>
      </c>
      <c r="V176" s="498"/>
      <c r="W176" s="498"/>
      <c r="X176" s="498"/>
      <c r="Y176" s="498"/>
      <c r="Z176" s="498"/>
      <c r="AA176" s="337"/>
      <c r="AB176" s="393">
        <v>7</v>
      </c>
      <c r="AC176" s="199"/>
      <c r="AD176" s="414">
        <v>3</v>
      </c>
      <c r="AE176" s="414">
        <v>4</v>
      </c>
      <c r="AF176" s="414">
        <v>3</v>
      </c>
      <c r="AG176" s="414">
        <v>2</v>
      </c>
      <c r="AH176" s="414">
        <v>3</v>
      </c>
      <c r="AI176" s="502">
        <v>31</v>
      </c>
      <c r="AJ176" s="199"/>
    </row>
    <row r="177" spans="1:36" ht="15.75" customHeight="1" x14ac:dyDescent="0.3">
      <c r="A177" s="377">
        <v>157</v>
      </c>
      <c r="B177" s="381">
        <v>11157</v>
      </c>
      <c r="C177" s="378" t="s">
        <v>754</v>
      </c>
      <c r="D177" s="519" t="s">
        <v>547</v>
      </c>
      <c r="E177" s="423"/>
      <c r="F177" s="516" t="s">
        <v>348</v>
      </c>
      <c r="G177" s="385" t="s">
        <v>348</v>
      </c>
      <c r="H177" s="385" t="s">
        <v>348</v>
      </c>
      <c r="I177" s="385" t="s">
        <v>348</v>
      </c>
      <c r="J177" s="385" t="s">
        <v>348</v>
      </c>
      <c r="K177" s="385" t="s">
        <v>348</v>
      </c>
      <c r="L177" s="385" t="s">
        <v>348</v>
      </c>
      <c r="M177" s="385" t="s">
        <v>348</v>
      </c>
      <c r="N177" s="385" t="s">
        <v>348</v>
      </c>
      <c r="O177" s="385" t="s">
        <v>348</v>
      </c>
      <c r="P177" s="199"/>
      <c r="Q177" s="416" t="s">
        <v>348</v>
      </c>
      <c r="R177" s="416" t="s">
        <v>348</v>
      </c>
      <c r="S177" s="416" t="s">
        <v>348</v>
      </c>
      <c r="T177" s="416" t="s">
        <v>348</v>
      </c>
      <c r="U177" s="416" t="s">
        <v>348</v>
      </c>
      <c r="V177" s="416" t="s">
        <v>348</v>
      </c>
      <c r="W177" s="416" t="s">
        <v>348</v>
      </c>
      <c r="X177" s="416" t="s">
        <v>348</v>
      </c>
      <c r="Y177" s="416" t="s">
        <v>348</v>
      </c>
      <c r="Z177" s="416" t="s">
        <v>348</v>
      </c>
      <c r="AA177" s="337"/>
      <c r="AB177" s="393">
        <v>10</v>
      </c>
      <c r="AC177" s="199"/>
      <c r="AD177" s="414">
        <v>5</v>
      </c>
      <c r="AE177" s="414">
        <v>4</v>
      </c>
      <c r="AF177" s="414">
        <v>5</v>
      </c>
      <c r="AG177" s="414">
        <v>4</v>
      </c>
      <c r="AH177" s="414">
        <v>5</v>
      </c>
      <c r="AI177" s="502">
        <v>10</v>
      </c>
      <c r="AJ177" s="199"/>
    </row>
    <row r="178" spans="1:36" ht="15.75" customHeight="1" x14ac:dyDescent="0.3">
      <c r="A178" s="377">
        <v>158</v>
      </c>
      <c r="B178" s="381">
        <v>11158</v>
      </c>
      <c r="C178" s="378" t="s">
        <v>755</v>
      </c>
      <c r="D178" s="519" t="s">
        <v>548</v>
      </c>
      <c r="E178" s="423"/>
      <c r="F178" s="508">
        <v>2</v>
      </c>
      <c r="G178" s="393">
        <v>2</v>
      </c>
      <c r="H178" s="493">
        <v>1</v>
      </c>
      <c r="I178" s="493"/>
      <c r="J178" s="493">
        <v>1</v>
      </c>
      <c r="K178" s="493"/>
      <c r="L178" s="493">
        <v>1</v>
      </c>
      <c r="M178" s="493"/>
      <c r="N178" s="493"/>
      <c r="O178" s="493"/>
      <c r="P178" s="199"/>
      <c r="Q178" s="493"/>
      <c r="R178" s="493">
        <v>1</v>
      </c>
      <c r="S178" s="498"/>
      <c r="T178" s="498"/>
      <c r="U178" s="498">
        <v>1</v>
      </c>
      <c r="V178" s="498"/>
      <c r="W178" s="498">
        <v>2</v>
      </c>
      <c r="X178" s="498"/>
      <c r="Y178" s="498"/>
      <c r="Z178" s="498"/>
      <c r="AA178" s="337"/>
      <c r="AB178" s="393">
        <v>6</v>
      </c>
      <c r="AC178" s="199"/>
      <c r="AD178" s="414">
        <v>5</v>
      </c>
      <c r="AE178" s="414">
        <v>4</v>
      </c>
      <c r="AF178" s="414">
        <v>5</v>
      </c>
      <c r="AG178" s="414">
        <v>4</v>
      </c>
      <c r="AH178" s="414">
        <v>5</v>
      </c>
      <c r="AI178" s="502">
        <v>16</v>
      </c>
      <c r="AJ178" s="199"/>
    </row>
    <row r="179" spans="1:36" ht="15.75" customHeight="1" x14ac:dyDescent="0.3">
      <c r="A179" s="377">
        <v>159</v>
      </c>
      <c r="B179" s="381">
        <v>11159</v>
      </c>
      <c r="C179" s="378" t="s">
        <v>756</v>
      </c>
      <c r="D179" s="519" t="s">
        <v>549</v>
      </c>
      <c r="E179" s="423"/>
      <c r="F179" s="508">
        <v>2</v>
      </c>
      <c r="G179" s="393">
        <v>2</v>
      </c>
      <c r="H179" s="493"/>
      <c r="I179" s="493"/>
      <c r="J179" s="493">
        <v>0</v>
      </c>
      <c r="K179" s="493">
        <v>1</v>
      </c>
      <c r="L179" s="493">
        <v>0</v>
      </c>
      <c r="M179" s="493">
        <v>2</v>
      </c>
      <c r="N179" s="493"/>
      <c r="O179" s="493"/>
      <c r="P179" s="199"/>
      <c r="Q179" s="493">
        <v>1</v>
      </c>
      <c r="R179" s="493">
        <v>2</v>
      </c>
      <c r="S179" s="498">
        <v>1</v>
      </c>
      <c r="T179" s="498">
        <v>0</v>
      </c>
      <c r="U179" s="498"/>
      <c r="V179" s="498"/>
      <c r="W179" s="498">
        <v>1</v>
      </c>
      <c r="X179" s="498"/>
      <c r="Y179" s="498">
        <v>4</v>
      </c>
      <c r="Z179" s="498">
        <v>0</v>
      </c>
      <c r="AA179" s="337"/>
      <c r="AB179" s="393">
        <v>7</v>
      </c>
      <c r="AC179" s="199"/>
      <c r="AD179" s="414">
        <v>5</v>
      </c>
      <c r="AE179" s="414">
        <v>5</v>
      </c>
      <c r="AF179" s="414">
        <v>5</v>
      </c>
      <c r="AG179" s="414">
        <v>5</v>
      </c>
      <c r="AH179" s="414">
        <v>5</v>
      </c>
      <c r="AI179" s="502">
        <v>21</v>
      </c>
      <c r="AJ179" s="199"/>
    </row>
    <row r="180" spans="1:36" ht="21" customHeight="1" x14ac:dyDescent="0.3">
      <c r="A180" s="377">
        <v>160</v>
      </c>
      <c r="B180" s="381">
        <v>11160</v>
      </c>
      <c r="C180" s="378" t="s">
        <v>757</v>
      </c>
      <c r="D180" s="519" t="s">
        <v>550</v>
      </c>
      <c r="E180" s="423"/>
      <c r="F180" s="508">
        <v>0</v>
      </c>
      <c r="G180" s="393">
        <v>0</v>
      </c>
      <c r="H180" s="493">
        <v>0</v>
      </c>
      <c r="I180" s="493">
        <v>0</v>
      </c>
      <c r="J180" s="493"/>
      <c r="K180" s="493"/>
      <c r="L180" s="493">
        <v>0</v>
      </c>
      <c r="M180" s="493">
        <v>0</v>
      </c>
      <c r="N180" s="493">
        <v>0</v>
      </c>
      <c r="O180" s="493"/>
      <c r="P180" s="199"/>
      <c r="Q180" s="416" t="s">
        <v>348</v>
      </c>
      <c r="R180" s="416" t="s">
        <v>348</v>
      </c>
      <c r="S180" s="416" t="s">
        <v>348</v>
      </c>
      <c r="T180" s="416" t="s">
        <v>348</v>
      </c>
      <c r="U180" s="416" t="s">
        <v>348</v>
      </c>
      <c r="V180" s="416" t="s">
        <v>348</v>
      </c>
      <c r="W180" s="416" t="s">
        <v>348</v>
      </c>
      <c r="X180" s="416" t="s">
        <v>348</v>
      </c>
      <c r="Y180" s="416" t="s">
        <v>348</v>
      </c>
      <c r="Z180" s="416" t="s">
        <v>348</v>
      </c>
      <c r="AA180" s="337"/>
      <c r="AB180" s="393">
        <v>10</v>
      </c>
      <c r="AC180" s="199"/>
      <c r="AD180" s="414">
        <v>5</v>
      </c>
      <c r="AE180" s="414">
        <v>4</v>
      </c>
      <c r="AF180" s="414">
        <v>5</v>
      </c>
      <c r="AG180" s="414">
        <v>5</v>
      </c>
      <c r="AH180" s="414">
        <v>5</v>
      </c>
      <c r="AI180" s="502">
        <v>18</v>
      </c>
      <c r="AJ180" s="199"/>
    </row>
    <row r="181" spans="1:36" ht="21" customHeight="1" x14ac:dyDescent="0.3">
      <c r="A181" s="377">
        <v>161</v>
      </c>
      <c r="B181" s="381">
        <v>11161</v>
      </c>
      <c r="C181" s="378" t="s">
        <v>758</v>
      </c>
      <c r="D181" s="519" t="s">
        <v>551</v>
      </c>
      <c r="E181" s="423"/>
      <c r="F181" s="508">
        <v>2</v>
      </c>
      <c r="G181" s="393">
        <v>2</v>
      </c>
      <c r="H181" s="493">
        <v>2</v>
      </c>
      <c r="I181" s="493">
        <v>2</v>
      </c>
      <c r="J181" s="493">
        <v>2</v>
      </c>
      <c r="K181" s="493">
        <v>1</v>
      </c>
      <c r="L181" s="493">
        <v>4</v>
      </c>
      <c r="M181" s="493">
        <v>2</v>
      </c>
      <c r="N181" s="493">
        <v>2</v>
      </c>
      <c r="O181" s="493">
        <v>1</v>
      </c>
      <c r="P181" s="199"/>
      <c r="Q181" s="493">
        <v>2</v>
      </c>
      <c r="R181" s="493">
        <v>2</v>
      </c>
      <c r="S181" s="498">
        <v>1</v>
      </c>
      <c r="T181" s="498"/>
      <c r="U181" s="498"/>
      <c r="V181" s="498">
        <v>2</v>
      </c>
      <c r="W181" s="498">
        <v>1</v>
      </c>
      <c r="X181" s="498"/>
      <c r="Y181" s="498">
        <v>4</v>
      </c>
      <c r="Z181" s="498">
        <v>0</v>
      </c>
      <c r="AA181" s="337"/>
      <c r="AB181" s="393">
        <v>8</v>
      </c>
      <c r="AC181" s="199"/>
      <c r="AD181" s="414">
        <v>4</v>
      </c>
      <c r="AE181" s="414">
        <v>4</v>
      </c>
      <c r="AF181" s="414">
        <v>5</v>
      </c>
      <c r="AG181" s="414">
        <v>4</v>
      </c>
      <c r="AH181" s="414">
        <v>5</v>
      </c>
      <c r="AI181" s="502">
        <v>50</v>
      </c>
      <c r="AJ181" s="199"/>
    </row>
    <row r="182" spans="1:36" ht="15.75" customHeight="1" x14ac:dyDescent="0.3">
      <c r="A182" s="377">
        <v>162</v>
      </c>
      <c r="B182" s="381">
        <v>11162</v>
      </c>
      <c r="C182" s="378" t="s">
        <v>759</v>
      </c>
      <c r="D182" s="519" t="s">
        <v>552</v>
      </c>
      <c r="E182" s="423"/>
      <c r="F182" s="508">
        <v>1</v>
      </c>
      <c r="G182" s="393">
        <v>2</v>
      </c>
      <c r="H182" s="493">
        <v>0</v>
      </c>
      <c r="I182" s="493"/>
      <c r="J182" s="493">
        <v>2</v>
      </c>
      <c r="K182" s="493"/>
      <c r="L182" s="493">
        <v>0</v>
      </c>
      <c r="M182" s="493"/>
      <c r="N182" s="493"/>
      <c r="O182" s="493"/>
      <c r="P182" s="199"/>
      <c r="Q182" s="493">
        <v>0</v>
      </c>
      <c r="R182" s="493"/>
      <c r="S182" s="498"/>
      <c r="T182" s="498">
        <v>0</v>
      </c>
      <c r="U182" s="498">
        <v>0</v>
      </c>
      <c r="V182" s="498">
        <v>0</v>
      </c>
      <c r="W182" s="498">
        <v>0</v>
      </c>
      <c r="X182" s="493"/>
      <c r="Y182" s="493"/>
      <c r="Z182" s="500"/>
      <c r="AA182" s="337"/>
      <c r="AB182" s="393">
        <v>9</v>
      </c>
      <c r="AC182" s="199"/>
      <c r="AD182" s="414">
        <v>2</v>
      </c>
      <c r="AE182" s="414">
        <v>4</v>
      </c>
      <c r="AF182" s="414">
        <v>4</v>
      </c>
      <c r="AG182" s="414">
        <v>4</v>
      </c>
      <c r="AH182" s="414">
        <v>5</v>
      </c>
      <c r="AI182" s="502">
        <v>12</v>
      </c>
      <c r="AJ182" s="199"/>
    </row>
    <row r="183" spans="1:36" ht="15.75" customHeight="1" x14ac:dyDescent="0.3">
      <c r="A183" s="377">
        <v>163</v>
      </c>
      <c r="B183" s="381">
        <v>11163</v>
      </c>
      <c r="C183" s="378" t="s">
        <v>760</v>
      </c>
      <c r="D183" s="519" t="s">
        <v>553</v>
      </c>
      <c r="E183" s="423"/>
      <c r="F183" s="508">
        <v>2</v>
      </c>
      <c r="G183" s="393">
        <v>2</v>
      </c>
      <c r="H183" s="493">
        <v>2</v>
      </c>
      <c r="I183" s="493">
        <v>2</v>
      </c>
      <c r="J183" s="493">
        <v>2</v>
      </c>
      <c r="K183" s="493"/>
      <c r="L183" s="493">
        <v>4</v>
      </c>
      <c r="M183" s="493">
        <v>4</v>
      </c>
      <c r="N183" s="493">
        <v>4</v>
      </c>
      <c r="O183" s="493">
        <v>3</v>
      </c>
      <c r="P183" s="199"/>
      <c r="Q183" s="493">
        <v>2</v>
      </c>
      <c r="R183" s="493">
        <v>1</v>
      </c>
      <c r="S183" s="498">
        <v>2</v>
      </c>
      <c r="T183" s="498"/>
      <c r="U183" s="498">
        <v>2</v>
      </c>
      <c r="V183" s="498">
        <v>2</v>
      </c>
      <c r="W183" s="498">
        <v>3</v>
      </c>
      <c r="X183" s="498">
        <v>4</v>
      </c>
      <c r="Y183" s="498">
        <v>4</v>
      </c>
      <c r="Z183" s="498">
        <v>4</v>
      </c>
      <c r="AA183" s="199"/>
      <c r="AB183" s="393">
        <v>10</v>
      </c>
      <c r="AC183" s="199"/>
      <c r="AD183" s="414">
        <v>5</v>
      </c>
      <c r="AE183" s="414">
        <v>4</v>
      </c>
      <c r="AF183" s="414">
        <v>5</v>
      </c>
      <c r="AG183" s="414">
        <v>3</v>
      </c>
      <c r="AH183" s="414">
        <v>5</v>
      </c>
      <c r="AI183" s="502">
        <v>75</v>
      </c>
      <c r="AJ183" s="199"/>
    </row>
    <row r="184" spans="1:36" ht="15.75" customHeight="1" x14ac:dyDescent="0.3">
      <c r="A184" s="377">
        <v>164</v>
      </c>
      <c r="B184" s="381">
        <v>11164</v>
      </c>
      <c r="C184" s="378" t="s">
        <v>761</v>
      </c>
      <c r="D184" s="519" t="s">
        <v>554</v>
      </c>
      <c r="E184" s="423"/>
      <c r="F184" s="508">
        <v>1</v>
      </c>
      <c r="G184" s="393">
        <v>2</v>
      </c>
      <c r="H184" s="493"/>
      <c r="I184" s="493"/>
      <c r="J184" s="493">
        <v>2</v>
      </c>
      <c r="K184" s="493">
        <v>1</v>
      </c>
      <c r="L184" s="493">
        <v>1</v>
      </c>
      <c r="M184" s="493">
        <v>0</v>
      </c>
      <c r="N184" s="493">
        <v>0</v>
      </c>
      <c r="O184" s="493"/>
      <c r="P184" s="199"/>
      <c r="Q184" s="493">
        <v>0</v>
      </c>
      <c r="R184" s="493">
        <v>0</v>
      </c>
      <c r="S184" s="498"/>
      <c r="T184" s="498"/>
      <c r="U184" s="498">
        <v>0</v>
      </c>
      <c r="V184" s="498">
        <v>0</v>
      </c>
      <c r="W184" s="498"/>
      <c r="X184" s="498"/>
      <c r="Y184" s="498"/>
      <c r="Z184" s="498"/>
      <c r="AA184" s="199"/>
      <c r="AB184" s="393">
        <v>8</v>
      </c>
      <c r="AC184" s="199"/>
      <c r="AD184" s="414">
        <v>4</v>
      </c>
      <c r="AE184" s="414">
        <v>4</v>
      </c>
      <c r="AF184" s="414">
        <v>5</v>
      </c>
      <c r="AG184" s="414">
        <v>4</v>
      </c>
      <c r="AH184" s="414">
        <v>5</v>
      </c>
      <c r="AI184" s="502">
        <v>14</v>
      </c>
      <c r="AJ184" s="199"/>
    </row>
    <row r="185" spans="1:36" ht="15.75" customHeight="1" x14ac:dyDescent="0.3">
      <c r="A185" s="377">
        <v>165</v>
      </c>
      <c r="B185" s="381">
        <v>11165</v>
      </c>
      <c r="C185" s="378" t="s">
        <v>762</v>
      </c>
      <c r="D185" s="519" t="s">
        <v>555</v>
      </c>
      <c r="E185" s="423"/>
      <c r="F185" s="508">
        <v>2</v>
      </c>
      <c r="G185" s="393">
        <v>2</v>
      </c>
      <c r="H185" s="493">
        <v>1</v>
      </c>
      <c r="I185" s="493"/>
      <c r="J185" s="493">
        <v>2</v>
      </c>
      <c r="K185" s="493"/>
      <c r="L185" s="493">
        <v>0</v>
      </c>
      <c r="M185" s="493">
        <v>0</v>
      </c>
      <c r="N185" s="493">
        <v>1</v>
      </c>
      <c r="O185" s="493"/>
      <c r="P185" s="199"/>
      <c r="Q185" s="493">
        <v>1</v>
      </c>
      <c r="R185" s="493">
        <v>1</v>
      </c>
      <c r="S185" s="498"/>
      <c r="T185" s="498"/>
      <c r="U185" s="498">
        <v>1</v>
      </c>
      <c r="V185" s="498">
        <v>2</v>
      </c>
      <c r="W185" s="498">
        <v>0</v>
      </c>
      <c r="X185" s="498">
        <v>1</v>
      </c>
      <c r="Y185" s="498"/>
      <c r="Z185" s="498">
        <v>2</v>
      </c>
      <c r="AA185" s="199"/>
      <c r="AB185" s="393">
        <v>6</v>
      </c>
      <c r="AC185" s="199"/>
      <c r="AD185" s="414">
        <v>5</v>
      </c>
      <c r="AE185" s="414">
        <v>4</v>
      </c>
      <c r="AF185" s="414">
        <v>5</v>
      </c>
      <c r="AG185" s="414">
        <v>5</v>
      </c>
      <c r="AH185" s="414">
        <v>5</v>
      </c>
      <c r="AI185" s="502">
        <v>30</v>
      </c>
      <c r="AJ185" s="199"/>
    </row>
    <row r="186" spans="1:36" ht="15.75" customHeight="1" x14ac:dyDescent="0.3">
      <c r="A186" s="377">
        <v>166</v>
      </c>
      <c r="B186" s="381">
        <v>11166</v>
      </c>
      <c r="C186" s="378" t="s">
        <v>763</v>
      </c>
      <c r="D186" s="519" t="s">
        <v>556</v>
      </c>
      <c r="E186" s="423"/>
      <c r="F186" s="508">
        <v>1</v>
      </c>
      <c r="G186" s="393"/>
      <c r="H186" s="493"/>
      <c r="I186" s="493"/>
      <c r="J186" s="493"/>
      <c r="K186" s="493"/>
      <c r="L186" s="493"/>
      <c r="M186" s="493"/>
      <c r="N186" s="493"/>
      <c r="O186" s="493"/>
      <c r="P186" s="199"/>
      <c r="Q186" s="493"/>
      <c r="R186" s="493"/>
      <c r="S186" s="498"/>
      <c r="T186" s="498"/>
      <c r="U186" s="498">
        <v>1</v>
      </c>
      <c r="V186" s="498">
        <v>2</v>
      </c>
      <c r="W186" s="498"/>
      <c r="X186" s="498"/>
      <c r="Y186" s="498"/>
      <c r="Z186" s="498"/>
      <c r="AA186" s="199"/>
      <c r="AB186" s="393">
        <v>10</v>
      </c>
      <c r="AC186" s="199"/>
      <c r="AD186" s="414">
        <v>3</v>
      </c>
      <c r="AE186" s="414">
        <v>3</v>
      </c>
      <c r="AF186" s="414">
        <v>3</v>
      </c>
      <c r="AG186" s="414">
        <v>3</v>
      </c>
      <c r="AH186" s="414">
        <v>3</v>
      </c>
      <c r="AI186" s="502">
        <v>12</v>
      </c>
      <c r="AJ186" s="199"/>
    </row>
    <row r="187" spans="1:36" ht="15.75" customHeight="1" x14ac:dyDescent="0.3">
      <c r="A187" s="377">
        <v>167</v>
      </c>
      <c r="B187" s="381">
        <v>11167</v>
      </c>
      <c r="C187" s="378" t="s">
        <v>764</v>
      </c>
      <c r="D187" s="519" t="s">
        <v>557</v>
      </c>
      <c r="E187" s="423"/>
      <c r="F187" s="508">
        <v>2</v>
      </c>
      <c r="G187" s="393">
        <v>2</v>
      </c>
      <c r="H187" s="493"/>
      <c r="I187" s="493"/>
      <c r="J187" s="493">
        <v>0</v>
      </c>
      <c r="K187" s="493">
        <v>1</v>
      </c>
      <c r="L187" s="493">
        <v>0</v>
      </c>
      <c r="M187" s="493">
        <v>2</v>
      </c>
      <c r="N187" s="493">
        <v>4</v>
      </c>
      <c r="O187" s="493"/>
      <c r="P187" s="199"/>
      <c r="Q187" s="493">
        <v>2</v>
      </c>
      <c r="R187" s="493">
        <v>0</v>
      </c>
      <c r="S187" s="498"/>
      <c r="T187" s="498"/>
      <c r="U187" s="498">
        <v>2</v>
      </c>
      <c r="V187" s="498">
        <v>2</v>
      </c>
      <c r="W187" s="498">
        <v>3</v>
      </c>
      <c r="X187" s="498">
        <v>0</v>
      </c>
      <c r="Y187" s="498">
        <v>0</v>
      </c>
      <c r="Z187" s="498"/>
      <c r="AA187" s="199"/>
      <c r="AB187" s="393">
        <v>6</v>
      </c>
      <c r="AC187" s="199"/>
      <c r="AD187" s="414">
        <v>4</v>
      </c>
      <c r="AE187" s="414">
        <v>4</v>
      </c>
      <c r="AF187" s="414">
        <v>4</v>
      </c>
      <c r="AG187" s="414">
        <v>4</v>
      </c>
      <c r="AH187" s="414">
        <v>4</v>
      </c>
      <c r="AI187" s="502">
        <v>27</v>
      </c>
      <c r="AJ187" s="199"/>
    </row>
    <row r="188" spans="1:36" ht="15.75" customHeight="1" x14ac:dyDescent="0.3">
      <c r="A188" s="377">
        <v>168</v>
      </c>
      <c r="B188" s="381">
        <v>11168</v>
      </c>
      <c r="C188" s="378" t="s">
        <v>765</v>
      </c>
      <c r="D188" s="519" t="s">
        <v>558</v>
      </c>
      <c r="E188" s="423"/>
      <c r="F188" s="508">
        <v>1</v>
      </c>
      <c r="G188" s="393">
        <v>2</v>
      </c>
      <c r="H188" s="493">
        <v>1</v>
      </c>
      <c r="I188" s="493"/>
      <c r="J188" s="493">
        <v>2</v>
      </c>
      <c r="K188" s="493"/>
      <c r="L188" s="493">
        <v>0</v>
      </c>
      <c r="M188" s="493"/>
      <c r="N188" s="493">
        <v>1</v>
      </c>
      <c r="O188" s="493">
        <v>2</v>
      </c>
      <c r="P188" s="199"/>
      <c r="Q188" s="493">
        <v>0</v>
      </c>
      <c r="R188" s="493"/>
      <c r="S188" s="498"/>
      <c r="T188" s="498">
        <v>0</v>
      </c>
      <c r="U188" s="498">
        <v>0</v>
      </c>
      <c r="V188" s="498">
        <v>2</v>
      </c>
      <c r="W188" s="498">
        <v>0</v>
      </c>
      <c r="X188" s="498">
        <v>0</v>
      </c>
      <c r="Y188" s="498"/>
      <c r="Z188" s="498">
        <v>0</v>
      </c>
      <c r="AA188" s="199"/>
      <c r="AB188" s="393">
        <v>7</v>
      </c>
      <c r="AC188" s="199"/>
      <c r="AD188" s="414">
        <v>3</v>
      </c>
      <c r="AE188" s="414">
        <v>3</v>
      </c>
      <c r="AF188" s="414">
        <v>3</v>
      </c>
      <c r="AG188" s="414">
        <v>3</v>
      </c>
      <c r="AH188" s="414">
        <v>4</v>
      </c>
      <c r="AI188" s="502">
        <v>41</v>
      </c>
      <c r="AJ188" s="199"/>
    </row>
    <row r="189" spans="1:36" ht="15.75" customHeight="1" x14ac:dyDescent="0.3">
      <c r="A189" s="377">
        <v>169</v>
      </c>
      <c r="B189" s="381">
        <v>11169</v>
      </c>
      <c r="C189" s="378" t="s">
        <v>766</v>
      </c>
      <c r="D189" s="519" t="s">
        <v>559</v>
      </c>
      <c r="E189" s="423"/>
      <c r="F189" s="508">
        <v>0</v>
      </c>
      <c r="G189" s="393">
        <v>0</v>
      </c>
      <c r="H189" s="493">
        <v>0</v>
      </c>
      <c r="I189" s="493">
        <v>0</v>
      </c>
      <c r="J189" s="493"/>
      <c r="K189" s="493"/>
      <c r="L189" s="493"/>
      <c r="M189" s="493"/>
      <c r="N189" s="493"/>
      <c r="O189" s="493"/>
      <c r="P189" s="199"/>
      <c r="Q189" s="493">
        <v>0</v>
      </c>
      <c r="R189" s="493">
        <v>0</v>
      </c>
      <c r="S189" s="498">
        <v>0</v>
      </c>
      <c r="T189" s="498">
        <v>0</v>
      </c>
      <c r="U189" s="498">
        <v>0</v>
      </c>
      <c r="V189" s="498"/>
      <c r="W189" s="498">
        <v>2</v>
      </c>
      <c r="X189" s="498">
        <v>0</v>
      </c>
      <c r="Y189" s="498"/>
      <c r="Z189" s="498"/>
      <c r="AA189" s="199"/>
      <c r="AB189" s="393">
        <v>10</v>
      </c>
      <c r="AC189" s="199"/>
      <c r="AD189" s="414">
        <v>5</v>
      </c>
      <c r="AE189" s="414">
        <v>4</v>
      </c>
      <c r="AF189" s="414">
        <v>4</v>
      </c>
      <c r="AG189" s="414">
        <v>4</v>
      </c>
      <c r="AH189" s="414">
        <v>5</v>
      </c>
      <c r="AI189" s="502">
        <v>17</v>
      </c>
      <c r="AJ189" s="199"/>
    </row>
    <row r="190" spans="1:36" ht="15.75" customHeight="1" x14ac:dyDescent="0.3">
      <c r="A190" s="377">
        <v>170</v>
      </c>
      <c r="B190" s="381">
        <v>11170</v>
      </c>
      <c r="C190" s="378" t="s">
        <v>767</v>
      </c>
      <c r="D190" s="519" t="s">
        <v>560</v>
      </c>
      <c r="E190" s="423"/>
      <c r="F190" s="508">
        <v>2</v>
      </c>
      <c r="G190" s="393">
        <v>2</v>
      </c>
      <c r="H190" s="493">
        <v>1</v>
      </c>
      <c r="I190" s="493">
        <v>2</v>
      </c>
      <c r="J190" s="493">
        <v>2</v>
      </c>
      <c r="K190" s="493"/>
      <c r="L190" s="493">
        <v>0</v>
      </c>
      <c r="M190" s="493"/>
      <c r="N190" s="493"/>
      <c r="O190" s="493">
        <v>0</v>
      </c>
      <c r="P190" s="199"/>
      <c r="Q190" s="493"/>
      <c r="R190" s="493"/>
      <c r="S190" s="498">
        <v>2</v>
      </c>
      <c r="T190" s="498">
        <v>0</v>
      </c>
      <c r="U190" s="498"/>
      <c r="V190" s="498">
        <v>2</v>
      </c>
      <c r="W190" s="498"/>
      <c r="X190" s="498">
        <v>3</v>
      </c>
      <c r="Y190" s="498"/>
      <c r="Z190" s="498">
        <v>0</v>
      </c>
      <c r="AA190" s="199"/>
      <c r="AB190" s="393">
        <v>6</v>
      </c>
      <c r="AC190" s="199"/>
      <c r="AD190" s="414">
        <v>5</v>
      </c>
      <c r="AE190" s="414">
        <v>5</v>
      </c>
      <c r="AF190" s="414">
        <v>5</v>
      </c>
      <c r="AG190" s="414">
        <v>5</v>
      </c>
      <c r="AH190" s="414">
        <v>5</v>
      </c>
      <c r="AI190" s="502">
        <v>29</v>
      </c>
      <c r="AJ190" s="199"/>
    </row>
    <row r="191" spans="1:36" ht="15.75" customHeight="1" x14ac:dyDescent="0.3">
      <c r="A191" s="377">
        <v>171</v>
      </c>
      <c r="B191" s="381">
        <v>11171</v>
      </c>
      <c r="C191" s="378" t="s">
        <v>768</v>
      </c>
      <c r="D191" s="519" t="s">
        <v>561</v>
      </c>
      <c r="E191" s="423"/>
      <c r="F191" s="508">
        <v>2</v>
      </c>
      <c r="G191" s="393">
        <v>2</v>
      </c>
      <c r="H191" s="493">
        <v>2</v>
      </c>
      <c r="I191" s="493">
        <v>2</v>
      </c>
      <c r="J191" s="493">
        <v>2</v>
      </c>
      <c r="K191" s="493">
        <v>4</v>
      </c>
      <c r="L191" s="493">
        <v>4</v>
      </c>
      <c r="M191" s="493">
        <v>4</v>
      </c>
      <c r="N191" s="493">
        <v>2</v>
      </c>
      <c r="O191" s="493"/>
      <c r="P191" s="199"/>
      <c r="Q191" s="493">
        <v>2</v>
      </c>
      <c r="R191" s="493">
        <v>1</v>
      </c>
      <c r="S191" s="498">
        <v>2</v>
      </c>
      <c r="T191" s="498"/>
      <c r="U191" s="498">
        <v>2</v>
      </c>
      <c r="V191" s="498">
        <v>2</v>
      </c>
      <c r="W191" s="498">
        <v>4</v>
      </c>
      <c r="X191" s="498"/>
      <c r="Y191" s="498">
        <v>4</v>
      </c>
      <c r="Z191" s="498">
        <v>1</v>
      </c>
      <c r="AA191" s="199"/>
      <c r="AB191" s="393">
        <v>9</v>
      </c>
      <c r="AC191" s="199"/>
      <c r="AD191" s="414">
        <v>5</v>
      </c>
      <c r="AE191" s="414">
        <v>4</v>
      </c>
      <c r="AF191" s="414">
        <v>5</v>
      </c>
      <c r="AG191" s="414">
        <v>4</v>
      </c>
      <c r="AH191" s="414">
        <v>5</v>
      </c>
      <c r="AI191" s="502">
        <v>56</v>
      </c>
      <c r="AJ191" s="199"/>
    </row>
    <row r="192" spans="1:36" ht="15.75" customHeight="1" x14ac:dyDescent="0.3">
      <c r="A192" s="377">
        <v>172</v>
      </c>
      <c r="B192" s="381">
        <v>11172</v>
      </c>
      <c r="C192" s="378" t="s">
        <v>769</v>
      </c>
      <c r="D192" s="519" t="s">
        <v>562</v>
      </c>
      <c r="E192" s="423"/>
      <c r="F192" s="508">
        <v>2</v>
      </c>
      <c r="G192" s="393">
        <v>2</v>
      </c>
      <c r="H192" s="493">
        <v>2</v>
      </c>
      <c r="I192" s="493">
        <v>1</v>
      </c>
      <c r="J192" s="493">
        <v>1</v>
      </c>
      <c r="K192" s="493"/>
      <c r="L192" s="493">
        <v>0</v>
      </c>
      <c r="M192" s="493"/>
      <c r="N192" s="493">
        <v>0</v>
      </c>
      <c r="O192" s="493">
        <v>0</v>
      </c>
      <c r="P192" s="199"/>
      <c r="Q192" s="493">
        <v>2</v>
      </c>
      <c r="R192" s="493">
        <v>1</v>
      </c>
      <c r="S192" s="498">
        <v>1</v>
      </c>
      <c r="T192" s="498">
        <v>1</v>
      </c>
      <c r="U192" s="498"/>
      <c r="V192" s="498"/>
      <c r="W192" s="498">
        <v>4</v>
      </c>
      <c r="X192" s="498">
        <v>0</v>
      </c>
      <c r="Y192" s="498">
        <v>0</v>
      </c>
      <c r="Z192" s="498"/>
      <c r="AA192" s="199"/>
      <c r="AB192" s="393">
        <v>7</v>
      </c>
      <c r="AC192" s="199"/>
      <c r="AD192" s="414">
        <v>5</v>
      </c>
      <c r="AE192" s="414">
        <v>3</v>
      </c>
      <c r="AF192" s="414">
        <v>4</v>
      </c>
      <c r="AG192" s="414">
        <v>3</v>
      </c>
      <c r="AH192" s="414">
        <v>4</v>
      </c>
      <c r="AI192" s="502">
        <v>23</v>
      </c>
      <c r="AJ192" s="199"/>
    </row>
    <row r="193" spans="1:36" ht="15.75" customHeight="1" x14ac:dyDescent="0.3">
      <c r="A193" s="377">
        <v>173</v>
      </c>
      <c r="B193" s="381">
        <v>11173</v>
      </c>
      <c r="C193" s="378" t="s">
        <v>770</v>
      </c>
      <c r="D193" s="519" t="s">
        <v>563</v>
      </c>
      <c r="E193" s="423"/>
      <c r="F193" s="508">
        <v>2</v>
      </c>
      <c r="G193" s="393"/>
      <c r="H193" s="493">
        <v>0</v>
      </c>
      <c r="I193" s="493">
        <v>1</v>
      </c>
      <c r="J193" s="493"/>
      <c r="K193" s="493"/>
      <c r="L193" s="493"/>
      <c r="M193" s="493"/>
      <c r="N193" s="493"/>
      <c r="O193" s="493">
        <v>0</v>
      </c>
      <c r="P193" s="199"/>
      <c r="Q193" s="493">
        <v>1</v>
      </c>
      <c r="R193" s="493">
        <v>0</v>
      </c>
      <c r="S193" s="498">
        <v>1</v>
      </c>
      <c r="T193" s="498">
        <v>0</v>
      </c>
      <c r="U193" s="498"/>
      <c r="V193" s="498"/>
      <c r="W193" s="498">
        <v>0</v>
      </c>
      <c r="X193" s="498"/>
      <c r="Y193" s="498"/>
      <c r="Z193" s="498"/>
      <c r="AA193" s="199"/>
      <c r="AB193" s="393">
        <v>9</v>
      </c>
      <c r="AC193" s="199"/>
      <c r="AD193" s="414">
        <v>5</v>
      </c>
      <c r="AE193" s="414">
        <v>5</v>
      </c>
      <c r="AF193" s="414">
        <v>3</v>
      </c>
      <c r="AG193" s="414">
        <v>5</v>
      </c>
      <c r="AH193" s="414">
        <v>3</v>
      </c>
      <c r="AI193" s="502">
        <v>15</v>
      </c>
      <c r="AJ193" s="199"/>
    </row>
    <row r="194" spans="1:36" ht="15.75" customHeight="1" x14ac:dyDescent="0.3">
      <c r="A194" s="377">
        <v>174</v>
      </c>
      <c r="B194" s="381">
        <v>11174</v>
      </c>
      <c r="C194" s="378" t="s">
        <v>771</v>
      </c>
      <c r="D194" s="519" t="s">
        <v>564</v>
      </c>
      <c r="E194" s="423"/>
      <c r="F194" s="508">
        <v>2</v>
      </c>
      <c r="G194" s="393">
        <v>2</v>
      </c>
      <c r="H194" s="493">
        <v>2</v>
      </c>
      <c r="I194" s="493">
        <v>2</v>
      </c>
      <c r="J194" s="493"/>
      <c r="K194" s="493"/>
      <c r="L194" s="493">
        <v>1</v>
      </c>
      <c r="M194" s="493">
        <v>4</v>
      </c>
      <c r="N194" s="493">
        <v>2</v>
      </c>
      <c r="O194" s="493">
        <v>1</v>
      </c>
      <c r="P194" s="199"/>
      <c r="Q194" s="493">
        <v>2</v>
      </c>
      <c r="R194" s="493">
        <v>1</v>
      </c>
      <c r="S194" s="498">
        <v>2</v>
      </c>
      <c r="T194" s="498"/>
      <c r="U194" s="498">
        <v>2</v>
      </c>
      <c r="V194" s="498">
        <v>2</v>
      </c>
      <c r="W194" s="498">
        <v>4</v>
      </c>
      <c r="X194" s="498">
        <v>4</v>
      </c>
      <c r="Y194" s="498">
        <v>2</v>
      </c>
      <c r="Z194" s="498"/>
      <c r="AA194" s="199"/>
      <c r="AB194" s="393">
        <v>8</v>
      </c>
      <c r="AC194" s="199"/>
      <c r="AD194" s="414">
        <v>4</v>
      </c>
      <c r="AE194" s="414">
        <v>3</v>
      </c>
      <c r="AF194" s="414">
        <v>4</v>
      </c>
      <c r="AG194" s="414">
        <v>4</v>
      </c>
      <c r="AH194" s="414">
        <v>5</v>
      </c>
      <c r="AI194" s="502">
        <v>44</v>
      </c>
      <c r="AJ194" s="199"/>
    </row>
    <row r="195" spans="1:36" ht="15.75" customHeight="1" x14ac:dyDescent="0.3">
      <c r="A195" s="377">
        <v>175</v>
      </c>
      <c r="B195" s="381">
        <v>11175</v>
      </c>
      <c r="C195" s="378" t="s">
        <v>772</v>
      </c>
      <c r="D195" s="519" t="s">
        <v>565</v>
      </c>
      <c r="E195" s="423"/>
      <c r="F195" s="508">
        <v>2</v>
      </c>
      <c r="G195" s="393"/>
      <c r="H195" s="493">
        <v>1</v>
      </c>
      <c r="I195" s="493">
        <v>2</v>
      </c>
      <c r="J195" s="493"/>
      <c r="K195" s="493">
        <v>1</v>
      </c>
      <c r="L195" s="493"/>
      <c r="M195" s="493">
        <v>3</v>
      </c>
      <c r="N195" s="493">
        <v>3</v>
      </c>
      <c r="O195" s="493">
        <v>0</v>
      </c>
      <c r="P195" s="199"/>
      <c r="Q195" s="493">
        <v>1</v>
      </c>
      <c r="R195" s="493">
        <v>0</v>
      </c>
      <c r="S195" s="498"/>
      <c r="T195" s="498"/>
      <c r="U195" s="498"/>
      <c r="V195" s="498"/>
      <c r="W195" s="498"/>
      <c r="X195" s="498"/>
      <c r="Y195" s="498"/>
      <c r="Z195" s="498"/>
      <c r="AA195" s="199"/>
      <c r="AB195" s="393">
        <v>7</v>
      </c>
      <c r="AC195" s="199"/>
      <c r="AD195" s="414">
        <v>4</v>
      </c>
      <c r="AE195" s="414">
        <v>4</v>
      </c>
      <c r="AF195" s="414">
        <v>5</v>
      </c>
      <c r="AG195" s="414">
        <v>5</v>
      </c>
      <c r="AH195" s="414">
        <v>5</v>
      </c>
      <c r="AI195" s="502">
        <v>25</v>
      </c>
      <c r="AJ195" s="199"/>
    </row>
    <row r="196" spans="1:36" ht="15.75" customHeight="1" x14ac:dyDescent="0.3">
      <c r="A196" s="377">
        <v>176</v>
      </c>
      <c r="B196" s="381">
        <v>11176</v>
      </c>
      <c r="C196" s="378" t="s">
        <v>773</v>
      </c>
      <c r="D196" s="519" t="s">
        <v>566</v>
      </c>
      <c r="E196" s="423"/>
      <c r="F196" s="508">
        <v>1</v>
      </c>
      <c r="G196" s="393">
        <v>2</v>
      </c>
      <c r="H196" s="493">
        <v>1</v>
      </c>
      <c r="I196" s="493">
        <v>2</v>
      </c>
      <c r="J196" s="493">
        <v>2</v>
      </c>
      <c r="K196" s="493"/>
      <c r="L196" s="493">
        <v>0</v>
      </c>
      <c r="M196" s="493">
        <v>2</v>
      </c>
      <c r="N196" s="493"/>
      <c r="O196" s="493">
        <v>0</v>
      </c>
      <c r="P196" s="199"/>
      <c r="Q196" s="493">
        <v>1</v>
      </c>
      <c r="R196" s="493">
        <v>0</v>
      </c>
      <c r="S196" s="498">
        <v>2</v>
      </c>
      <c r="T196" s="498"/>
      <c r="U196" s="498">
        <v>1</v>
      </c>
      <c r="V196" s="498"/>
      <c r="W196" s="498">
        <v>0</v>
      </c>
      <c r="X196" s="498">
        <v>0</v>
      </c>
      <c r="Y196" s="498">
        <v>0</v>
      </c>
      <c r="Z196" s="498"/>
      <c r="AA196" s="199"/>
      <c r="AB196" s="393">
        <v>7</v>
      </c>
      <c r="AC196" s="199"/>
      <c r="AD196" s="414">
        <v>5</v>
      </c>
      <c r="AE196" s="414">
        <v>5</v>
      </c>
      <c r="AF196" s="414">
        <v>5</v>
      </c>
      <c r="AG196" s="414">
        <v>5</v>
      </c>
      <c r="AH196" s="414">
        <v>5</v>
      </c>
      <c r="AI196" s="502">
        <v>35</v>
      </c>
      <c r="AJ196" s="199"/>
    </row>
    <row r="197" spans="1:36" ht="15.75" customHeight="1" x14ac:dyDescent="0.3">
      <c r="A197" s="377">
        <v>177</v>
      </c>
      <c r="B197" s="381">
        <v>11177</v>
      </c>
      <c r="C197" s="378" t="s">
        <v>774</v>
      </c>
      <c r="D197" s="519" t="s">
        <v>567</v>
      </c>
      <c r="E197" s="423"/>
      <c r="F197" s="508">
        <v>2</v>
      </c>
      <c r="G197" s="393">
        <v>2</v>
      </c>
      <c r="H197" s="493">
        <v>1</v>
      </c>
      <c r="I197" s="493">
        <v>2</v>
      </c>
      <c r="J197" s="493"/>
      <c r="K197" s="493">
        <v>2</v>
      </c>
      <c r="L197" s="493"/>
      <c r="M197" s="493">
        <v>1</v>
      </c>
      <c r="N197" s="493">
        <v>2</v>
      </c>
      <c r="O197" s="493">
        <v>1</v>
      </c>
      <c r="P197" s="199"/>
      <c r="Q197" s="493">
        <v>2</v>
      </c>
      <c r="R197" s="493">
        <v>2</v>
      </c>
      <c r="S197" s="498">
        <v>2</v>
      </c>
      <c r="T197" s="498"/>
      <c r="U197" s="498">
        <v>1</v>
      </c>
      <c r="V197" s="498">
        <v>2</v>
      </c>
      <c r="W197" s="498">
        <v>1</v>
      </c>
      <c r="X197" s="498">
        <v>3</v>
      </c>
      <c r="Y197" s="498">
        <v>1</v>
      </c>
      <c r="Z197" s="498">
        <v>1</v>
      </c>
      <c r="AA197" s="199"/>
      <c r="AB197" s="393">
        <v>7</v>
      </c>
      <c r="AC197" s="199"/>
      <c r="AD197" s="414">
        <v>3</v>
      </c>
      <c r="AE197" s="414">
        <v>1</v>
      </c>
      <c r="AF197" s="414">
        <v>4</v>
      </c>
      <c r="AG197" s="414">
        <v>4</v>
      </c>
      <c r="AH197" s="414">
        <v>5</v>
      </c>
      <c r="AI197" s="502">
        <v>39</v>
      </c>
      <c r="AJ197" s="199"/>
    </row>
    <row r="198" spans="1:36" ht="15.75" customHeight="1" x14ac:dyDescent="0.3">
      <c r="A198" s="377">
        <v>178</v>
      </c>
      <c r="B198" s="381">
        <v>11178</v>
      </c>
      <c r="C198" s="378" t="s">
        <v>775</v>
      </c>
      <c r="D198" s="519" t="s">
        <v>568</v>
      </c>
      <c r="E198" s="423"/>
      <c r="F198" s="508">
        <v>2</v>
      </c>
      <c r="G198" s="393">
        <v>2</v>
      </c>
      <c r="H198" s="493">
        <v>1</v>
      </c>
      <c r="I198" s="493">
        <v>2</v>
      </c>
      <c r="J198" s="493"/>
      <c r="K198" s="493">
        <v>2</v>
      </c>
      <c r="L198" s="493">
        <v>4</v>
      </c>
      <c r="M198" s="493">
        <v>4</v>
      </c>
      <c r="N198" s="493">
        <v>2</v>
      </c>
      <c r="O198" s="493"/>
      <c r="P198" s="199"/>
      <c r="Q198" s="493">
        <v>2</v>
      </c>
      <c r="R198" s="493"/>
      <c r="S198" s="498">
        <v>2</v>
      </c>
      <c r="T198" s="498"/>
      <c r="U198" s="498">
        <v>1</v>
      </c>
      <c r="V198" s="498">
        <v>2</v>
      </c>
      <c r="W198" s="498">
        <v>4</v>
      </c>
      <c r="X198" s="498"/>
      <c r="Y198" s="498">
        <v>1</v>
      </c>
      <c r="Z198" s="498">
        <v>3</v>
      </c>
      <c r="AA198" s="199"/>
      <c r="AB198" s="393">
        <v>8</v>
      </c>
      <c r="AC198" s="199"/>
      <c r="AD198" s="414">
        <v>3</v>
      </c>
      <c r="AE198" s="414">
        <v>2</v>
      </c>
      <c r="AF198" s="414">
        <v>3</v>
      </c>
      <c r="AG198" s="414">
        <v>3</v>
      </c>
      <c r="AH198" s="414">
        <v>4</v>
      </c>
      <c r="AI198" s="502">
        <v>53</v>
      </c>
      <c r="AJ198" s="199"/>
    </row>
    <row r="199" spans="1:36" ht="15.75" customHeight="1" x14ac:dyDescent="0.3">
      <c r="A199" s="377">
        <v>179</v>
      </c>
      <c r="B199" s="381">
        <v>11179</v>
      </c>
      <c r="C199" s="378" t="s">
        <v>776</v>
      </c>
      <c r="D199" s="519" t="s">
        <v>569</v>
      </c>
      <c r="E199" s="423"/>
      <c r="F199" s="508">
        <v>2</v>
      </c>
      <c r="G199" s="393"/>
      <c r="H199" s="493">
        <v>1</v>
      </c>
      <c r="I199" s="493">
        <v>0</v>
      </c>
      <c r="J199" s="493"/>
      <c r="K199" s="493">
        <v>1</v>
      </c>
      <c r="L199" s="493">
        <v>4</v>
      </c>
      <c r="M199" s="493">
        <v>2</v>
      </c>
      <c r="N199" s="493">
        <v>2</v>
      </c>
      <c r="O199" s="493">
        <v>1</v>
      </c>
      <c r="P199" s="199"/>
      <c r="Q199" s="493">
        <v>1</v>
      </c>
      <c r="R199" s="493"/>
      <c r="S199" s="498">
        <v>2</v>
      </c>
      <c r="T199" s="498"/>
      <c r="U199" s="498">
        <v>2</v>
      </c>
      <c r="V199" s="498">
        <v>2</v>
      </c>
      <c r="W199" s="498">
        <v>2</v>
      </c>
      <c r="X199" s="498">
        <v>0</v>
      </c>
      <c r="Y199" s="498">
        <v>1</v>
      </c>
      <c r="Z199" s="498"/>
      <c r="AA199" s="199"/>
      <c r="AB199" s="393">
        <v>7</v>
      </c>
      <c r="AC199" s="199"/>
      <c r="AD199" s="414">
        <v>5</v>
      </c>
      <c r="AE199" s="414">
        <v>3</v>
      </c>
      <c r="AF199" s="414">
        <v>5</v>
      </c>
      <c r="AG199" s="414">
        <v>5</v>
      </c>
      <c r="AH199" s="414">
        <v>5</v>
      </c>
      <c r="AI199" s="502">
        <v>46</v>
      </c>
      <c r="AJ199" s="199"/>
    </row>
    <row r="200" spans="1:36" ht="15.75" customHeight="1" x14ac:dyDescent="0.3">
      <c r="A200" s="377">
        <v>180</v>
      </c>
      <c r="B200" s="381">
        <v>11180</v>
      </c>
      <c r="C200" s="378" t="s">
        <v>777</v>
      </c>
      <c r="D200" s="519" t="s">
        <v>570</v>
      </c>
      <c r="E200" s="423"/>
      <c r="F200" s="508">
        <v>2</v>
      </c>
      <c r="G200" s="393">
        <v>2</v>
      </c>
      <c r="H200" s="493">
        <v>1</v>
      </c>
      <c r="I200" s="493"/>
      <c r="J200" s="493"/>
      <c r="K200" s="493">
        <v>1</v>
      </c>
      <c r="L200" s="493"/>
      <c r="M200" s="493">
        <v>0</v>
      </c>
      <c r="N200" s="493"/>
      <c r="O200" s="493">
        <v>0</v>
      </c>
      <c r="P200" s="199"/>
      <c r="Q200" s="493">
        <v>2</v>
      </c>
      <c r="R200" s="493"/>
      <c r="S200" s="498">
        <v>2</v>
      </c>
      <c r="T200" s="498">
        <v>0</v>
      </c>
      <c r="U200" s="498">
        <v>2</v>
      </c>
      <c r="V200" s="498"/>
      <c r="W200" s="498">
        <v>2</v>
      </c>
      <c r="X200" s="498"/>
      <c r="Y200" s="498">
        <v>3</v>
      </c>
      <c r="Z200" s="498"/>
      <c r="AA200" s="199"/>
      <c r="AB200" s="393">
        <v>7</v>
      </c>
      <c r="AC200" s="199"/>
      <c r="AD200" s="414">
        <v>4</v>
      </c>
      <c r="AE200" s="414">
        <v>2</v>
      </c>
      <c r="AF200" s="414">
        <v>3</v>
      </c>
      <c r="AG200" s="414">
        <v>3</v>
      </c>
      <c r="AH200" s="414">
        <v>3</v>
      </c>
      <c r="AI200" s="502">
        <v>27</v>
      </c>
      <c r="AJ200" s="199"/>
    </row>
    <row r="201" spans="1:36" ht="15.75" customHeight="1" x14ac:dyDescent="0.3">
      <c r="A201" s="377">
        <v>181</v>
      </c>
      <c r="B201" s="381">
        <v>11181</v>
      </c>
      <c r="C201" s="378" t="s">
        <v>778</v>
      </c>
      <c r="D201" s="519" t="s">
        <v>571</v>
      </c>
      <c r="E201" s="423"/>
      <c r="F201" s="508">
        <v>0</v>
      </c>
      <c r="G201" s="393">
        <v>2</v>
      </c>
      <c r="H201" s="493">
        <v>0</v>
      </c>
      <c r="I201" s="493"/>
      <c r="J201" s="493"/>
      <c r="K201" s="493">
        <v>0</v>
      </c>
      <c r="L201" s="493">
        <v>0</v>
      </c>
      <c r="M201" s="493">
        <v>1</v>
      </c>
      <c r="N201" s="493"/>
      <c r="O201" s="493">
        <v>0</v>
      </c>
      <c r="P201" s="199"/>
      <c r="Q201" s="493">
        <v>1</v>
      </c>
      <c r="R201" s="493">
        <v>0</v>
      </c>
      <c r="S201" s="498"/>
      <c r="T201" s="498">
        <v>0</v>
      </c>
      <c r="U201" s="498"/>
      <c r="V201" s="498">
        <v>1</v>
      </c>
      <c r="W201" s="498">
        <v>0</v>
      </c>
      <c r="X201" s="498"/>
      <c r="Y201" s="498">
        <v>0</v>
      </c>
      <c r="Z201" s="498"/>
      <c r="AA201" s="199"/>
      <c r="AB201" s="393">
        <v>9</v>
      </c>
      <c r="AC201" s="199"/>
      <c r="AD201" s="414">
        <v>5</v>
      </c>
      <c r="AE201" s="414">
        <v>4</v>
      </c>
      <c r="AF201" s="414">
        <v>5</v>
      </c>
      <c r="AG201" s="414">
        <v>4</v>
      </c>
      <c r="AH201" s="414">
        <v>5</v>
      </c>
      <c r="AI201" s="502">
        <v>18</v>
      </c>
      <c r="AJ201" s="199"/>
    </row>
    <row r="202" spans="1:36" ht="15.75" customHeight="1" x14ac:dyDescent="0.3">
      <c r="A202" s="377">
        <v>182</v>
      </c>
      <c r="B202" s="381">
        <v>11182</v>
      </c>
      <c r="C202" s="378" t="s">
        <v>779</v>
      </c>
      <c r="D202" s="519" t="s">
        <v>572</v>
      </c>
      <c r="E202" s="423"/>
      <c r="F202" s="508">
        <v>2</v>
      </c>
      <c r="G202" s="393">
        <v>2</v>
      </c>
      <c r="H202" s="493">
        <v>1</v>
      </c>
      <c r="I202" s="493">
        <v>1</v>
      </c>
      <c r="J202" s="493">
        <v>2</v>
      </c>
      <c r="K202" s="493">
        <v>2</v>
      </c>
      <c r="L202" s="493">
        <v>2</v>
      </c>
      <c r="M202" s="493">
        <v>4</v>
      </c>
      <c r="N202" s="493">
        <v>2</v>
      </c>
      <c r="O202" s="493">
        <v>2</v>
      </c>
      <c r="P202" s="199"/>
      <c r="Q202" s="493">
        <v>1</v>
      </c>
      <c r="R202" s="493">
        <v>0</v>
      </c>
      <c r="S202" s="498">
        <v>2</v>
      </c>
      <c r="T202" s="498"/>
      <c r="U202" s="498"/>
      <c r="V202" s="498">
        <v>2</v>
      </c>
      <c r="W202" s="498"/>
      <c r="X202" s="498">
        <v>4</v>
      </c>
      <c r="Y202" s="498">
        <v>4</v>
      </c>
      <c r="Z202" s="498">
        <v>2</v>
      </c>
      <c r="AA202" s="199"/>
      <c r="AB202" s="393">
        <v>8</v>
      </c>
      <c r="AC202" s="199"/>
      <c r="AD202" s="414">
        <v>4</v>
      </c>
      <c r="AE202" s="414">
        <v>3</v>
      </c>
      <c r="AF202" s="414">
        <v>3</v>
      </c>
      <c r="AG202" s="414">
        <v>4</v>
      </c>
      <c r="AH202" s="414">
        <v>4</v>
      </c>
      <c r="AI202" s="502">
        <v>52</v>
      </c>
      <c r="AJ202" s="199"/>
    </row>
    <row r="203" spans="1:36" ht="15.75" customHeight="1" x14ac:dyDescent="0.3">
      <c r="A203" s="377">
        <v>183</v>
      </c>
      <c r="B203" s="381">
        <v>11183</v>
      </c>
      <c r="C203" s="378" t="s">
        <v>780</v>
      </c>
      <c r="D203" s="519" t="s">
        <v>573</v>
      </c>
      <c r="E203" s="423"/>
      <c r="F203" s="508">
        <v>1</v>
      </c>
      <c r="G203" s="393">
        <v>1</v>
      </c>
      <c r="H203" s="493"/>
      <c r="I203" s="493">
        <v>1</v>
      </c>
      <c r="J203" s="493">
        <v>1</v>
      </c>
      <c r="K203" s="493">
        <v>1</v>
      </c>
      <c r="L203" s="493">
        <v>0</v>
      </c>
      <c r="M203" s="493"/>
      <c r="N203" s="493">
        <v>2</v>
      </c>
      <c r="O203" s="493">
        <v>0</v>
      </c>
      <c r="P203" s="199"/>
      <c r="Q203" s="493">
        <v>0</v>
      </c>
      <c r="R203" s="493">
        <v>0</v>
      </c>
      <c r="S203" s="498">
        <v>0</v>
      </c>
      <c r="T203" s="498">
        <v>0</v>
      </c>
      <c r="U203" s="498"/>
      <c r="V203" s="498"/>
      <c r="W203" s="498">
        <v>0</v>
      </c>
      <c r="X203" s="498">
        <v>0</v>
      </c>
      <c r="Y203" s="498">
        <v>0</v>
      </c>
      <c r="Z203" s="498"/>
      <c r="AA203" s="199"/>
      <c r="AB203" s="393">
        <v>9</v>
      </c>
      <c r="AC203" s="199"/>
      <c r="AD203" s="414">
        <v>5</v>
      </c>
      <c r="AE203" s="414">
        <v>4</v>
      </c>
      <c r="AF203" s="414">
        <v>5</v>
      </c>
      <c r="AG203" s="414">
        <v>4</v>
      </c>
      <c r="AH203" s="414">
        <v>5</v>
      </c>
      <c r="AI203" s="502">
        <v>16</v>
      </c>
      <c r="AJ203" s="199"/>
    </row>
    <row r="204" spans="1:36" ht="15.75" customHeight="1" x14ac:dyDescent="0.3">
      <c r="A204" s="377">
        <v>184</v>
      </c>
      <c r="B204" s="381">
        <v>11184</v>
      </c>
      <c r="C204" s="378" t="s">
        <v>781</v>
      </c>
      <c r="D204" s="519" t="s">
        <v>574</v>
      </c>
      <c r="E204" s="423"/>
      <c r="F204" s="508">
        <v>1</v>
      </c>
      <c r="G204" s="393">
        <v>2</v>
      </c>
      <c r="H204" s="493">
        <v>2</v>
      </c>
      <c r="I204" s="493"/>
      <c r="J204" s="493">
        <v>1</v>
      </c>
      <c r="K204" s="493">
        <v>2</v>
      </c>
      <c r="L204" s="493">
        <v>4</v>
      </c>
      <c r="M204" s="493">
        <v>4</v>
      </c>
      <c r="N204" s="493">
        <v>2</v>
      </c>
      <c r="O204" s="493"/>
      <c r="P204" s="199"/>
      <c r="Q204" s="493">
        <v>2</v>
      </c>
      <c r="R204" s="493">
        <v>2</v>
      </c>
      <c r="S204" s="498">
        <v>2</v>
      </c>
      <c r="T204" s="498"/>
      <c r="U204" s="498">
        <v>2</v>
      </c>
      <c r="V204" s="498">
        <v>2</v>
      </c>
      <c r="W204" s="498">
        <v>4</v>
      </c>
      <c r="X204" s="498">
        <v>2</v>
      </c>
      <c r="Y204" s="498">
        <v>4</v>
      </c>
      <c r="Z204" s="498">
        <v>1</v>
      </c>
      <c r="AA204" s="199"/>
      <c r="AB204" s="393">
        <v>9</v>
      </c>
      <c r="AC204" s="199"/>
      <c r="AD204" s="414">
        <v>4</v>
      </c>
      <c r="AE204" s="414">
        <v>4</v>
      </c>
      <c r="AF204" s="414">
        <v>4</v>
      </c>
      <c r="AG204" s="414">
        <v>4</v>
      </c>
      <c r="AH204" s="414">
        <v>4</v>
      </c>
      <c r="AI204" s="502">
        <v>71</v>
      </c>
      <c r="AJ204" s="199"/>
    </row>
    <row r="205" spans="1:36" ht="15.75" customHeight="1" x14ac:dyDescent="0.3">
      <c r="A205" s="377">
        <v>185</v>
      </c>
      <c r="B205" s="381">
        <v>11185</v>
      </c>
      <c r="C205" s="378" t="s">
        <v>782</v>
      </c>
      <c r="D205" s="519" t="s">
        <v>575</v>
      </c>
      <c r="E205" s="423"/>
      <c r="F205" s="508"/>
      <c r="G205" s="393">
        <v>2</v>
      </c>
      <c r="H205" s="493">
        <v>2</v>
      </c>
      <c r="I205" s="493">
        <v>2</v>
      </c>
      <c r="J205" s="493">
        <v>2</v>
      </c>
      <c r="K205" s="493"/>
      <c r="L205" s="493"/>
      <c r="M205" s="493"/>
      <c r="N205" s="493">
        <v>1</v>
      </c>
      <c r="O205" s="493">
        <v>1</v>
      </c>
      <c r="P205" s="199"/>
      <c r="Q205" s="493">
        <v>0</v>
      </c>
      <c r="R205" s="493"/>
      <c r="S205" s="498">
        <v>0</v>
      </c>
      <c r="T205" s="498">
        <v>0</v>
      </c>
      <c r="U205" s="498">
        <v>0</v>
      </c>
      <c r="V205" s="498"/>
      <c r="W205" s="498">
        <v>0</v>
      </c>
      <c r="X205" s="498"/>
      <c r="Y205" s="498"/>
      <c r="Z205" s="498"/>
      <c r="AA205" s="199"/>
      <c r="AB205" s="393">
        <v>8</v>
      </c>
      <c r="AC205" s="199"/>
      <c r="AD205" s="414">
        <v>3</v>
      </c>
      <c r="AE205" s="414">
        <v>3</v>
      </c>
      <c r="AF205" s="414">
        <v>4</v>
      </c>
      <c r="AG205" s="414">
        <v>4</v>
      </c>
      <c r="AH205" s="414">
        <v>4</v>
      </c>
      <c r="AI205" s="502">
        <v>51</v>
      </c>
      <c r="AJ205" s="199"/>
    </row>
    <row r="206" spans="1:36" ht="15.75" customHeight="1" x14ac:dyDescent="0.3">
      <c r="A206" s="377">
        <v>186</v>
      </c>
      <c r="B206" s="381">
        <v>11186</v>
      </c>
      <c r="C206" s="378" t="s">
        <v>783</v>
      </c>
      <c r="D206" s="519" t="s">
        <v>576</v>
      </c>
      <c r="E206" s="423"/>
      <c r="F206" s="508">
        <v>2</v>
      </c>
      <c r="G206" s="393">
        <v>0</v>
      </c>
      <c r="H206" s="493"/>
      <c r="I206" s="493"/>
      <c r="J206" s="493">
        <v>1</v>
      </c>
      <c r="K206" s="493">
        <v>2</v>
      </c>
      <c r="L206" s="493">
        <v>0</v>
      </c>
      <c r="M206" s="493">
        <v>4</v>
      </c>
      <c r="N206" s="493">
        <v>3</v>
      </c>
      <c r="O206" s="493"/>
      <c r="P206" s="199"/>
      <c r="Q206" s="493">
        <v>1</v>
      </c>
      <c r="R206" s="493">
        <v>0</v>
      </c>
      <c r="S206" s="498">
        <v>1</v>
      </c>
      <c r="T206" s="498"/>
      <c r="U206" s="498">
        <v>0</v>
      </c>
      <c r="V206" s="498"/>
      <c r="W206" s="498">
        <v>2</v>
      </c>
      <c r="X206" s="498"/>
      <c r="Y206" s="498"/>
      <c r="Z206" s="498"/>
      <c r="AA206" s="199"/>
      <c r="AB206" s="393">
        <v>6</v>
      </c>
      <c r="AC206" s="199"/>
      <c r="AD206" s="414">
        <v>5</v>
      </c>
      <c r="AE206" s="414">
        <v>5</v>
      </c>
      <c r="AF206" s="414">
        <v>5</v>
      </c>
      <c r="AG206" s="414">
        <v>4</v>
      </c>
      <c r="AH206" s="414">
        <v>4</v>
      </c>
      <c r="AI206" s="502">
        <v>30</v>
      </c>
      <c r="AJ206" s="199"/>
    </row>
    <row r="207" spans="1:36" ht="15.75" customHeight="1" x14ac:dyDescent="0.3">
      <c r="A207" s="377">
        <v>187</v>
      </c>
      <c r="B207" s="381">
        <v>11187</v>
      </c>
      <c r="C207" s="378" t="s">
        <v>784</v>
      </c>
      <c r="D207" s="519" t="s">
        <v>577</v>
      </c>
      <c r="E207" s="423"/>
      <c r="F207" s="508">
        <v>1</v>
      </c>
      <c r="G207" s="393"/>
      <c r="H207" s="493"/>
      <c r="I207" s="493">
        <v>1</v>
      </c>
      <c r="J207" s="493">
        <v>1</v>
      </c>
      <c r="K207" s="493">
        <v>1</v>
      </c>
      <c r="L207" s="493">
        <v>0</v>
      </c>
      <c r="M207" s="493"/>
      <c r="N207" s="493">
        <v>0</v>
      </c>
      <c r="O207" s="493">
        <v>0</v>
      </c>
      <c r="P207" s="199"/>
      <c r="Q207" s="493">
        <v>2</v>
      </c>
      <c r="R207" s="493">
        <v>0</v>
      </c>
      <c r="S207" s="498">
        <v>1</v>
      </c>
      <c r="T207" s="498"/>
      <c r="U207" s="498"/>
      <c r="V207" s="498"/>
      <c r="W207" s="498">
        <v>1</v>
      </c>
      <c r="X207" s="498"/>
      <c r="Y207" s="498"/>
      <c r="Z207" s="498"/>
      <c r="AA207" s="199"/>
      <c r="AB207" s="393">
        <v>8</v>
      </c>
      <c r="AC207" s="199"/>
      <c r="AD207" s="414">
        <v>5</v>
      </c>
      <c r="AE207" s="414">
        <v>5</v>
      </c>
      <c r="AF207" s="414">
        <v>4</v>
      </c>
      <c r="AG207" s="414">
        <v>4</v>
      </c>
      <c r="AH207" s="414">
        <v>5</v>
      </c>
      <c r="AI207" s="502">
        <v>29</v>
      </c>
      <c r="AJ207" s="199"/>
    </row>
    <row r="208" spans="1:36" ht="15.75" customHeight="1" x14ac:dyDescent="0.3">
      <c r="A208" s="377">
        <v>188</v>
      </c>
      <c r="B208" s="381">
        <v>11188</v>
      </c>
      <c r="C208" s="378" t="s">
        <v>785</v>
      </c>
      <c r="D208" s="519" t="s">
        <v>578</v>
      </c>
      <c r="E208" s="423"/>
      <c r="F208" s="508">
        <v>2</v>
      </c>
      <c r="G208" s="393">
        <v>1</v>
      </c>
      <c r="H208" s="493"/>
      <c r="I208" s="493"/>
      <c r="J208" s="493">
        <v>1</v>
      </c>
      <c r="K208" s="493">
        <v>0</v>
      </c>
      <c r="L208" s="493">
        <v>1</v>
      </c>
      <c r="M208" s="493">
        <v>0</v>
      </c>
      <c r="N208" s="493">
        <v>2</v>
      </c>
      <c r="O208" s="493"/>
      <c r="P208" s="199"/>
      <c r="Q208" s="493">
        <v>2</v>
      </c>
      <c r="R208" s="493"/>
      <c r="S208" s="498">
        <v>1</v>
      </c>
      <c r="T208" s="498"/>
      <c r="U208" s="498">
        <v>1</v>
      </c>
      <c r="V208" s="498">
        <v>0</v>
      </c>
      <c r="W208" s="498">
        <v>4</v>
      </c>
      <c r="X208" s="498">
        <v>1</v>
      </c>
      <c r="Y208" s="498">
        <v>4</v>
      </c>
      <c r="Z208" s="498"/>
      <c r="AA208" s="199"/>
      <c r="AB208" s="393">
        <v>6</v>
      </c>
      <c r="AC208" s="199"/>
      <c r="AD208" s="414">
        <v>5</v>
      </c>
      <c r="AE208" s="414">
        <v>4</v>
      </c>
      <c r="AF208" s="414">
        <v>5</v>
      </c>
      <c r="AG208" s="414">
        <v>4</v>
      </c>
      <c r="AH208" s="414">
        <v>4</v>
      </c>
      <c r="AI208" s="502">
        <v>44</v>
      </c>
      <c r="AJ208" s="199"/>
    </row>
    <row r="209" spans="1:36" ht="15.75" customHeight="1" x14ac:dyDescent="0.3">
      <c r="A209" s="377">
        <v>189</v>
      </c>
      <c r="B209" s="381">
        <v>11189</v>
      </c>
      <c r="C209" s="378" t="s">
        <v>786</v>
      </c>
      <c r="D209" s="519" t="s">
        <v>579</v>
      </c>
      <c r="E209" s="423"/>
      <c r="F209" s="508">
        <v>1</v>
      </c>
      <c r="G209" s="393">
        <v>1</v>
      </c>
      <c r="H209" s="493"/>
      <c r="I209" s="493"/>
      <c r="J209" s="493">
        <v>2</v>
      </c>
      <c r="K209" s="493"/>
      <c r="L209" s="493"/>
      <c r="M209" s="493"/>
      <c r="N209" s="493">
        <v>1</v>
      </c>
      <c r="O209" s="493"/>
      <c r="P209" s="199"/>
      <c r="Q209" s="493"/>
      <c r="R209" s="493"/>
      <c r="S209" s="498">
        <v>2</v>
      </c>
      <c r="T209" s="498"/>
      <c r="U209" s="498"/>
      <c r="V209" s="498">
        <v>1</v>
      </c>
      <c r="W209" s="498"/>
      <c r="X209" s="498"/>
      <c r="Y209" s="498"/>
      <c r="Z209" s="498"/>
      <c r="AA209" s="199"/>
      <c r="AB209" s="393">
        <v>8</v>
      </c>
      <c r="AC209" s="199"/>
      <c r="AD209" s="414">
        <v>3</v>
      </c>
      <c r="AE209" s="414">
        <v>4</v>
      </c>
      <c r="AF209" s="414">
        <v>4</v>
      </c>
      <c r="AG209" s="414">
        <v>4</v>
      </c>
      <c r="AH209" s="414">
        <v>4</v>
      </c>
      <c r="AI209" s="502">
        <v>21</v>
      </c>
      <c r="AJ209" s="199"/>
    </row>
    <row r="210" spans="1:36" ht="15.75" customHeight="1" x14ac:dyDescent="0.3">
      <c r="A210" s="377">
        <v>190</v>
      </c>
      <c r="B210" s="381">
        <v>11190</v>
      </c>
      <c r="C210" s="378" t="s">
        <v>787</v>
      </c>
      <c r="D210" s="519" t="s">
        <v>580</v>
      </c>
      <c r="E210" s="423"/>
      <c r="F210" s="508">
        <v>1</v>
      </c>
      <c r="G210" s="393">
        <v>1</v>
      </c>
      <c r="H210" s="493">
        <v>1</v>
      </c>
      <c r="I210" s="493">
        <v>2</v>
      </c>
      <c r="J210" s="493"/>
      <c r="K210" s="493">
        <v>1</v>
      </c>
      <c r="L210" s="493"/>
      <c r="M210" s="493">
        <v>0</v>
      </c>
      <c r="N210" s="493">
        <v>1</v>
      </c>
      <c r="O210" s="493"/>
      <c r="P210" s="199"/>
      <c r="Q210" s="493">
        <v>0</v>
      </c>
      <c r="R210" s="493">
        <v>0</v>
      </c>
      <c r="S210" s="498">
        <v>2</v>
      </c>
      <c r="T210" s="498">
        <v>0</v>
      </c>
      <c r="U210" s="498"/>
      <c r="V210" s="498"/>
      <c r="W210" s="498"/>
      <c r="X210" s="498"/>
      <c r="Y210" s="498"/>
      <c r="Z210" s="498"/>
      <c r="AA210" s="199"/>
      <c r="AB210" s="393">
        <v>8</v>
      </c>
      <c r="AC210" s="199"/>
      <c r="AD210" s="414">
        <v>5</v>
      </c>
      <c r="AE210" s="414">
        <v>5</v>
      </c>
      <c r="AF210" s="414">
        <v>5</v>
      </c>
      <c r="AG210" s="414">
        <v>5</v>
      </c>
      <c r="AH210" s="414">
        <v>5</v>
      </c>
      <c r="AI210" s="502">
        <v>31</v>
      </c>
      <c r="AJ210" s="199"/>
    </row>
    <row r="211" spans="1:36" ht="15.75" customHeight="1" x14ac:dyDescent="0.3">
      <c r="A211" s="377">
        <v>191</v>
      </c>
      <c r="B211" s="381">
        <v>11191</v>
      </c>
      <c r="C211" s="378" t="s">
        <v>788</v>
      </c>
      <c r="D211" s="519" t="s">
        <v>581</v>
      </c>
      <c r="E211" s="423"/>
      <c r="F211" s="508">
        <v>1</v>
      </c>
      <c r="G211" s="393"/>
      <c r="H211" s="493"/>
      <c r="I211" s="493"/>
      <c r="J211" s="493">
        <v>0</v>
      </c>
      <c r="K211" s="493"/>
      <c r="L211" s="493"/>
      <c r="M211" s="493"/>
      <c r="N211" s="493">
        <v>0</v>
      </c>
      <c r="O211" s="493"/>
      <c r="P211" s="199"/>
      <c r="Q211" s="493"/>
      <c r="R211" s="493"/>
      <c r="S211" s="498">
        <v>2</v>
      </c>
      <c r="T211" s="498"/>
      <c r="U211" s="498"/>
      <c r="V211" s="498">
        <v>2</v>
      </c>
      <c r="W211" s="498"/>
      <c r="X211" s="498"/>
      <c r="Y211" s="498"/>
      <c r="Z211" s="498"/>
      <c r="AA211" s="199"/>
      <c r="AB211" s="393">
        <v>9</v>
      </c>
      <c r="AC211" s="199"/>
      <c r="AD211" s="414">
        <v>5</v>
      </c>
      <c r="AE211" s="414">
        <v>3</v>
      </c>
      <c r="AF211" s="414">
        <v>4</v>
      </c>
      <c r="AG211" s="414">
        <v>4</v>
      </c>
      <c r="AH211" s="414">
        <v>5</v>
      </c>
      <c r="AI211" s="502">
        <v>16</v>
      </c>
      <c r="AJ211" s="199"/>
    </row>
    <row r="212" spans="1:36" ht="15.75" customHeight="1" x14ac:dyDescent="0.3">
      <c r="A212" s="377">
        <v>192</v>
      </c>
      <c r="B212" s="381">
        <v>11192</v>
      </c>
      <c r="C212" s="378" t="s">
        <v>789</v>
      </c>
      <c r="D212" s="519" t="s">
        <v>582</v>
      </c>
      <c r="E212" s="423"/>
      <c r="F212" s="508">
        <v>2</v>
      </c>
      <c r="G212" s="393">
        <v>2</v>
      </c>
      <c r="H212" s="493"/>
      <c r="I212" s="493"/>
      <c r="J212" s="493">
        <v>0</v>
      </c>
      <c r="K212" s="493"/>
      <c r="L212" s="493"/>
      <c r="M212" s="493"/>
      <c r="N212" s="493"/>
      <c r="O212" s="493"/>
      <c r="P212" s="199"/>
      <c r="Q212" s="493">
        <v>0</v>
      </c>
      <c r="R212" s="493"/>
      <c r="S212" s="498">
        <v>1</v>
      </c>
      <c r="T212" s="498"/>
      <c r="U212" s="498"/>
      <c r="V212" s="498">
        <v>0</v>
      </c>
      <c r="W212" s="498">
        <v>0</v>
      </c>
      <c r="X212" s="498"/>
      <c r="Y212" s="498"/>
      <c r="Z212" s="498">
        <v>0</v>
      </c>
      <c r="AA212" s="199"/>
      <c r="AB212" s="393">
        <v>9</v>
      </c>
      <c r="AC212" s="199"/>
      <c r="AD212" s="414">
        <v>5</v>
      </c>
      <c r="AE212" s="414">
        <v>3</v>
      </c>
      <c r="AF212" s="414">
        <v>5</v>
      </c>
      <c r="AG212" s="414">
        <v>5</v>
      </c>
      <c r="AH212" s="414">
        <v>5</v>
      </c>
      <c r="AI212" s="502">
        <v>25</v>
      </c>
      <c r="AJ212" s="199"/>
    </row>
    <row r="213" spans="1:36" ht="15.75" customHeight="1" x14ac:dyDescent="0.3">
      <c r="A213" s="377">
        <v>193</v>
      </c>
      <c r="B213" s="381">
        <v>11193</v>
      </c>
      <c r="C213" s="378" t="s">
        <v>790</v>
      </c>
      <c r="D213" s="519" t="s">
        <v>583</v>
      </c>
      <c r="E213" s="423"/>
      <c r="F213" s="508">
        <v>2</v>
      </c>
      <c r="G213" s="393">
        <v>2</v>
      </c>
      <c r="H213" s="493"/>
      <c r="I213" s="493">
        <v>1</v>
      </c>
      <c r="J213" s="493">
        <v>1</v>
      </c>
      <c r="K213" s="493"/>
      <c r="L213" s="493">
        <v>4</v>
      </c>
      <c r="M213" s="493"/>
      <c r="N213" s="493">
        <v>4</v>
      </c>
      <c r="O213" s="493">
        <v>0</v>
      </c>
      <c r="P213" s="199"/>
      <c r="Q213" s="493">
        <v>2</v>
      </c>
      <c r="R213" s="493"/>
      <c r="S213" s="498"/>
      <c r="T213" s="498">
        <v>0</v>
      </c>
      <c r="U213" s="498">
        <v>0</v>
      </c>
      <c r="V213" s="498">
        <v>2</v>
      </c>
      <c r="W213" s="498"/>
      <c r="X213" s="498"/>
      <c r="Y213" s="498"/>
      <c r="Z213" s="498"/>
      <c r="AA213" s="199"/>
      <c r="AB213" s="393">
        <v>6</v>
      </c>
      <c r="AC213" s="199"/>
      <c r="AD213" s="414">
        <v>3</v>
      </c>
      <c r="AE213" s="414">
        <v>2</v>
      </c>
      <c r="AF213" s="414">
        <v>5</v>
      </c>
      <c r="AG213" s="414">
        <v>2</v>
      </c>
      <c r="AH213" s="414">
        <v>1</v>
      </c>
      <c r="AI213" s="502">
        <v>29</v>
      </c>
      <c r="AJ213" s="199"/>
    </row>
    <row r="214" spans="1:36" ht="15.75" customHeight="1" x14ac:dyDescent="0.3">
      <c r="A214" s="377">
        <v>194</v>
      </c>
      <c r="B214" s="381">
        <v>11194</v>
      </c>
      <c r="C214" s="378" t="s">
        <v>791</v>
      </c>
      <c r="D214" s="519" t="s">
        <v>584</v>
      </c>
      <c r="E214" s="423"/>
      <c r="F214" s="516" t="s">
        <v>348</v>
      </c>
      <c r="G214" s="385" t="s">
        <v>348</v>
      </c>
      <c r="H214" s="385" t="s">
        <v>348</v>
      </c>
      <c r="I214" s="385" t="s">
        <v>348</v>
      </c>
      <c r="J214" s="385" t="s">
        <v>348</v>
      </c>
      <c r="K214" s="385" t="s">
        <v>348</v>
      </c>
      <c r="L214" s="385" t="s">
        <v>348</v>
      </c>
      <c r="M214" s="385" t="s">
        <v>348</v>
      </c>
      <c r="N214" s="385" t="s">
        <v>348</v>
      </c>
      <c r="O214" s="385" t="s">
        <v>348</v>
      </c>
      <c r="P214" s="199"/>
      <c r="Q214" s="416" t="s">
        <v>348</v>
      </c>
      <c r="R214" s="416" t="s">
        <v>348</v>
      </c>
      <c r="S214" s="416" t="s">
        <v>348</v>
      </c>
      <c r="T214" s="416" t="s">
        <v>348</v>
      </c>
      <c r="U214" s="416" t="s">
        <v>348</v>
      </c>
      <c r="V214" s="416" t="s">
        <v>348</v>
      </c>
      <c r="W214" s="416" t="s">
        <v>348</v>
      </c>
      <c r="X214" s="416" t="s">
        <v>348</v>
      </c>
      <c r="Y214" s="416" t="s">
        <v>348</v>
      </c>
      <c r="Z214" s="416" t="s">
        <v>348</v>
      </c>
      <c r="AA214" s="199"/>
      <c r="AB214" s="420"/>
      <c r="AC214" s="199"/>
      <c r="AD214" s="414">
        <v>5</v>
      </c>
      <c r="AE214" s="414">
        <v>4</v>
      </c>
      <c r="AF214" s="414">
        <v>5</v>
      </c>
      <c r="AG214" s="414">
        <v>5</v>
      </c>
      <c r="AH214" s="414">
        <v>5</v>
      </c>
      <c r="AI214" s="502"/>
      <c r="AJ214" s="199"/>
    </row>
    <row r="215" spans="1:36" ht="15.75" customHeight="1" x14ac:dyDescent="0.3">
      <c r="A215" s="377">
        <v>195</v>
      </c>
      <c r="B215" s="381">
        <v>11195</v>
      </c>
      <c r="C215" s="378" t="s">
        <v>792</v>
      </c>
      <c r="D215" s="519" t="s">
        <v>585</v>
      </c>
      <c r="E215" s="423"/>
      <c r="F215" s="508">
        <v>2</v>
      </c>
      <c r="G215" s="393">
        <v>2</v>
      </c>
      <c r="H215" s="493">
        <v>1</v>
      </c>
      <c r="I215" s="493">
        <v>1</v>
      </c>
      <c r="J215" s="493"/>
      <c r="K215" s="493"/>
      <c r="L215" s="493"/>
      <c r="M215" s="493">
        <v>0</v>
      </c>
      <c r="N215" s="493"/>
      <c r="O215" s="493">
        <v>3</v>
      </c>
      <c r="P215" s="199"/>
      <c r="Q215" s="493">
        <v>1</v>
      </c>
      <c r="R215" s="493"/>
      <c r="S215" s="498"/>
      <c r="T215" s="498">
        <v>0</v>
      </c>
      <c r="U215" s="498">
        <v>1</v>
      </c>
      <c r="V215" s="498">
        <v>2</v>
      </c>
      <c r="W215" s="498"/>
      <c r="X215" s="498">
        <v>0</v>
      </c>
      <c r="Y215" s="498">
        <v>0</v>
      </c>
      <c r="Z215" s="498"/>
      <c r="AA215" s="199"/>
      <c r="AB215" s="393">
        <v>6</v>
      </c>
      <c r="AC215" s="199"/>
      <c r="AD215" s="414">
        <v>3</v>
      </c>
      <c r="AE215" s="414">
        <v>3</v>
      </c>
      <c r="AF215" s="414">
        <v>4</v>
      </c>
      <c r="AG215" s="414">
        <v>5</v>
      </c>
      <c r="AH215" s="414">
        <v>3</v>
      </c>
      <c r="AI215" s="502">
        <v>29</v>
      </c>
      <c r="AJ215" s="199"/>
    </row>
    <row r="216" spans="1:36" ht="15.75" customHeight="1" x14ac:dyDescent="0.3">
      <c r="A216" s="377">
        <v>196</v>
      </c>
      <c r="B216" s="381">
        <v>11196</v>
      </c>
      <c r="C216" s="378" t="s">
        <v>793</v>
      </c>
      <c r="D216" s="519" t="s">
        <v>586</v>
      </c>
      <c r="E216" s="423"/>
      <c r="F216" s="508"/>
      <c r="G216" s="393">
        <v>2</v>
      </c>
      <c r="H216" s="493">
        <v>1</v>
      </c>
      <c r="I216" s="493">
        <v>2</v>
      </c>
      <c r="J216" s="493"/>
      <c r="K216" s="493">
        <v>2</v>
      </c>
      <c r="L216" s="493">
        <v>1</v>
      </c>
      <c r="M216" s="493">
        <v>2</v>
      </c>
      <c r="N216" s="493">
        <v>0</v>
      </c>
      <c r="O216" s="493"/>
      <c r="P216" s="199"/>
      <c r="Q216" s="493"/>
      <c r="R216" s="493"/>
      <c r="S216" s="498">
        <v>2</v>
      </c>
      <c r="T216" s="498"/>
      <c r="U216" s="498"/>
      <c r="V216" s="498">
        <v>2</v>
      </c>
      <c r="W216" s="498"/>
      <c r="X216" s="498">
        <v>3</v>
      </c>
      <c r="Y216" s="498"/>
      <c r="Z216" s="498">
        <v>0</v>
      </c>
      <c r="AA216" s="199"/>
      <c r="AB216" s="393">
        <v>6</v>
      </c>
      <c r="AC216" s="199"/>
      <c r="AD216" s="414">
        <v>4</v>
      </c>
      <c r="AE216" s="414">
        <v>2</v>
      </c>
      <c r="AF216" s="414">
        <v>4</v>
      </c>
      <c r="AG216" s="414">
        <v>3</v>
      </c>
      <c r="AH216" s="414">
        <v>4</v>
      </c>
      <c r="AI216" s="502">
        <v>43</v>
      </c>
      <c r="AJ216" s="199"/>
    </row>
    <row r="217" spans="1:36" ht="15.75" customHeight="1" x14ac:dyDescent="0.3">
      <c r="A217" s="377">
        <v>197</v>
      </c>
      <c r="B217" s="381">
        <v>11197</v>
      </c>
      <c r="C217" s="378" t="s">
        <v>794</v>
      </c>
      <c r="D217" s="519" t="s">
        <v>587</v>
      </c>
      <c r="E217" s="423"/>
      <c r="F217" s="508">
        <v>2</v>
      </c>
      <c r="G217" s="393">
        <v>1</v>
      </c>
      <c r="H217" s="493"/>
      <c r="I217" s="493"/>
      <c r="J217" s="493">
        <v>2</v>
      </c>
      <c r="K217" s="493">
        <v>1</v>
      </c>
      <c r="L217" s="493"/>
      <c r="M217" s="493">
        <v>0</v>
      </c>
      <c r="N217" s="493">
        <v>0</v>
      </c>
      <c r="O217" s="493"/>
      <c r="P217" s="199"/>
      <c r="Q217" s="493">
        <v>0</v>
      </c>
      <c r="R217" s="493">
        <v>0</v>
      </c>
      <c r="S217" s="498">
        <v>2</v>
      </c>
      <c r="T217" s="498"/>
      <c r="U217" s="498">
        <v>0</v>
      </c>
      <c r="V217" s="498"/>
      <c r="W217" s="498">
        <v>0</v>
      </c>
      <c r="X217" s="498"/>
      <c r="Y217" s="498"/>
      <c r="Z217" s="498">
        <v>0</v>
      </c>
      <c r="AA217" s="199"/>
      <c r="AB217" s="393">
        <v>8</v>
      </c>
      <c r="AC217" s="199"/>
      <c r="AD217" s="414">
        <v>5</v>
      </c>
      <c r="AE217" s="414">
        <v>3</v>
      </c>
      <c r="AF217" s="414">
        <v>3</v>
      </c>
      <c r="AG217" s="414">
        <v>3</v>
      </c>
      <c r="AH217" s="414">
        <v>4</v>
      </c>
      <c r="AI217" s="502">
        <v>14</v>
      </c>
      <c r="AJ217" s="199"/>
    </row>
    <row r="218" spans="1:36" ht="15.75" customHeight="1" x14ac:dyDescent="0.3">
      <c r="A218" s="377">
        <v>198</v>
      </c>
      <c r="B218" s="381">
        <v>11198</v>
      </c>
      <c r="C218" s="378" t="s">
        <v>795</v>
      </c>
      <c r="D218" s="519" t="s">
        <v>588</v>
      </c>
      <c r="E218" s="423"/>
      <c r="F218" s="508">
        <v>2</v>
      </c>
      <c r="G218" s="393">
        <v>2</v>
      </c>
      <c r="H218" s="493"/>
      <c r="I218" s="493"/>
      <c r="J218" s="493"/>
      <c r="K218" s="493">
        <v>2</v>
      </c>
      <c r="L218" s="493">
        <v>0</v>
      </c>
      <c r="M218" s="493">
        <v>1</v>
      </c>
      <c r="N218" s="493"/>
      <c r="O218" s="493"/>
      <c r="P218" s="199"/>
      <c r="Q218" s="493"/>
      <c r="R218" s="493">
        <v>1</v>
      </c>
      <c r="S218" s="498">
        <v>1</v>
      </c>
      <c r="T218" s="498"/>
      <c r="U218" s="498">
        <v>1</v>
      </c>
      <c r="V218" s="498">
        <v>2</v>
      </c>
      <c r="W218" s="498"/>
      <c r="X218" s="498">
        <v>1</v>
      </c>
      <c r="Y218" s="498"/>
      <c r="Z218" s="498"/>
      <c r="AA218" s="199"/>
      <c r="AB218" s="393">
        <v>6</v>
      </c>
      <c r="AC218" s="199"/>
      <c r="AD218" s="414">
        <v>5</v>
      </c>
      <c r="AE218" s="414">
        <v>5</v>
      </c>
      <c r="AF218" s="414">
        <v>5</v>
      </c>
      <c r="AG218" s="414">
        <v>5</v>
      </c>
      <c r="AH218" s="414">
        <v>5</v>
      </c>
      <c r="AI218" s="502">
        <v>27</v>
      </c>
      <c r="AJ218" s="199"/>
    </row>
    <row r="219" spans="1:36" ht="15.75" customHeight="1" x14ac:dyDescent="0.3">
      <c r="A219" s="377">
        <v>199</v>
      </c>
      <c r="B219" s="381">
        <v>11199</v>
      </c>
      <c r="C219" s="378" t="s">
        <v>796</v>
      </c>
      <c r="D219" s="519" t="s">
        <v>589</v>
      </c>
      <c r="E219" s="423"/>
      <c r="F219" s="508">
        <v>2</v>
      </c>
      <c r="G219" s="393">
        <v>2</v>
      </c>
      <c r="H219" s="493">
        <v>0</v>
      </c>
      <c r="I219" s="493">
        <v>2</v>
      </c>
      <c r="J219" s="493"/>
      <c r="K219" s="493"/>
      <c r="L219" s="493"/>
      <c r="M219" s="493">
        <v>0</v>
      </c>
      <c r="N219" s="493">
        <v>1</v>
      </c>
      <c r="O219" s="493">
        <v>0</v>
      </c>
      <c r="P219" s="199"/>
      <c r="Q219" s="416" t="s">
        <v>348</v>
      </c>
      <c r="R219" s="416" t="s">
        <v>348</v>
      </c>
      <c r="S219" s="416" t="s">
        <v>348</v>
      </c>
      <c r="T219" s="416" t="s">
        <v>348</v>
      </c>
      <c r="U219" s="416" t="s">
        <v>348</v>
      </c>
      <c r="V219" s="416" t="s">
        <v>348</v>
      </c>
      <c r="W219" s="416" t="s">
        <v>348</v>
      </c>
      <c r="X219" s="416" t="s">
        <v>348</v>
      </c>
      <c r="Y219" s="416" t="s">
        <v>348</v>
      </c>
      <c r="Z219" s="416" t="s">
        <v>348</v>
      </c>
      <c r="AA219" s="199"/>
      <c r="AB219" s="393">
        <v>8</v>
      </c>
      <c r="AC219" s="199"/>
      <c r="AD219" s="414">
        <v>5</v>
      </c>
      <c r="AE219" s="414">
        <v>5</v>
      </c>
      <c r="AF219" s="414">
        <v>5</v>
      </c>
      <c r="AG219" s="414">
        <v>4</v>
      </c>
      <c r="AH219" s="414">
        <v>5</v>
      </c>
      <c r="AI219" s="502">
        <v>23</v>
      </c>
      <c r="AJ219" s="199"/>
    </row>
    <row r="220" spans="1:36" ht="15.75" customHeight="1" x14ac:dyDescent="0.3">
      <c r="A220" s="377">
        <v>200</v>
      </c>
      <c r="B220" s="381">
        <v>11200</v>
      </c>
      <c r="C220" s="378" t="s">
        <v>797</v>
      </c>
      <c r="D220" s="519" t="s">
        <v>590</v>
      </c>
      <c r="E220" s="423"/>
      <c r="F220" s="508">
        <v>2</v>
      </c>
      <c r="G220" s="393">
        <v>2</v>
      </c>
      <c r="H220" s="493">
        <v>1</v>
      </c>
      <c r="I220" s="493"/>
      <c r="J220" s="493"/>
      <c r="K220" s="493">
        <v>1</v>
      </c>
      <c r="L220" s="493">
        <v>0</v>
      </c>
      <c r="M220" s="493">
        <v>1</v>
      </c>
      <c r="N220" s="493"/>
      <c r="O220" s="493">
        <v>0</v>
      </c>
      <c r="P220" s="199"/>
      <c r="Q220" s="500"/>
      <c r="R220" s="500"/>
      <c r="S220" s="498">
        <v>2</v>
      </c>
      <c r="T220" s="498">
        <v>2</v>
      </c>
      <c r="U220" s="498"/>
      <c r="V220" s="498">
        <v>2</v>
      </c>
      <c r="W220" s="498"/>
      <c r="X220" s="498">
        <v>0</v>
      </c>
      <c r="Y220" s="498">
        <v>0</v>
      </c>
      <c r="Z220" s="498">
        <v>0</v>
      </c>
      <c r="AA220" s="199"/>
      <c r="AB220" s="393">
        <v>6</v>
      </c>
      <c r="AC220" s="199"/>
      <c r="AD220" s="414">
        <v>5</v>
      </c>
      <c r="AE220" s="414">
        <v>4</v>
      </c>
      <c r="AF220" s="414">
        <v>5</v>
      </c>
      <c r="AG220" s="414">
        <v>4</v>
      </c>
      <c r="AH220" s="414">
        <v>5</v>
      </c>
      <c r="AI220" s="502">
        <v>25</v>
      </c>
      <c r="AJ220" s="199"/>
    </row>
    <row r="221" spans="1:36" ht="15.75" customHeight="1" x14ac:dyDescent="0.3">
      <c r="A221" s="377">
        <v>201</v>
      </c>
      <c r="B221" s="381">
        <v>11201</v>
      </c>
      <c r="C221" s="378" t="s">
        <v>798</v>
      </c>
      <c r="D221" s="519" t="s">
        <v>591</v>
      </c>
      <c r="E221" s="423"/>
      <c r="F221" s="508">
        <v>2</v>
      </c>
      <c r="G221" s="393">
        <v>2</v>
      </c>
      <c r="H221" s="493">
        <v>2</v>
      </c>
      <c r="I221" s="493"/>
      <c r="J221" s="493"/>
      <c r="K221" s="493">
        <v>2</v>
      </c>
      <c r="L221" s="493">
        <v>4</v>
      </c>
      <c r="M221" s="493">
        <v>2</v>
      </c>
      <c r="N221" s="493">
        <v>4</v>
      </c>
      <c r="O221" s="493">
        <v>4</v>
      </c>
      <c r="P221" s="199"/>
      <c r="Q221" s="493">
        <v>2</v>
      </c>
      <c r="R221" s="493">
        <v>2</v>
      </c>
      <c r="S221" s="498">
        <v>2</v>
      </c>
      <c r="T221" s="498">
        <v>2</v>
      </c>
      <c r="U221" s="498"/>
      <c r="V221" s="498">
        <v>2</v>
      </c>
      <c r="W221" s="498"/>
      <c r="X221" s="498">
        <v>4</v>
      </c>
      <c r="Y221" s="498">
        <v>4</v>
      </c>
      <c r="Z221" s="498">
        <v>0</v>
      </c>
      <c r="AA221" s="199"/>
      <c r="AB221" s="393">
        <v>8</v>
      </c>
      <c r="AC221" s="199"/>
      <c r="AD221" s="414">
        <v>5</v>
      </c>
      <c r="AE221" s="414">
        <v>5</v>
      </c>
      <c r="AF221" s="414">
        <v>5</v>
      </c>
      <c r="AG221" s="414">
        <v>5</v>
      </c>
      <c r="AH221" s="414">
        <v>5</v>
      </c>
      <c r="AI221" s="502">
        <v>54</v>
      </c>
      <c r="AJ221" s="199"/>
    </row>
    <row r="222" spans="1:36" ht="15.75" customHeight="1" x14ac:dyDescent="0.3">
      <c r="A222" s="377">
        <v>202</v>
      </c>
      <c r="B222" s="381">
        <v>11202</v>
      </c>
      <c r="C222" s="378" t="s">
        <v>799</v>
      </c>
      <c r="D222" s="519" t="s">
        <v>592</v>
      </c>
      <c r="E222" s="423"/>
      <c r="F222" s="508">
        <v>2</v>
      </c>
      <c r="G222" s="393">
        <v>2</v>
      </c>
      <c r="H222" s="493">
        <v>2</v>
      </c>
      <c r="I222" s="493">
        <v>2</v>
      </c>
      <c r="J222" s="493"/>
      <c r="K222" s="493">
        <v>2</v>
      </c>
      <c r="L222" s="493">
        <v>0</v>
      </c>
      <c r="M222" s="493"/>
      <c r="N222" s="493">
        <v>1</v>
      </c>
      <c r="O222" s="493"/>
      <c r="P222" s="199"/>
      <c r="Q222" s="493"/>
      <c r="R222" s="493"/>
      <c r="S222" s="498"/>
      <c r="T222" s="493"/>
      <c r="U222" s="493"/>
      <c r="V222" s="493">
        <v>2</v>
      </c>
      <c r="W222" s="493"/>
      <c r="X222" s="493"/>
      <c r="Y222" s="493"/>
      <c r="Z222" s="493"/>
      <c r="AA222" s="199"/>
      <c r="AB222" s="393">
        <v>7</v>
      </c>
      <c r="AC222" s="199"/>
      <c r="AD222" s="414">
        <v>5</v>
      </c>
      <c r="AE222" s="414">
        <v>4</v>
      </c>
      <c r="AF222" s="414">
        <v>4</v>
      </c>
      <c r="AG222" s="414">
        <v>4</v>
      </c>
      <c r="AH222" s="414">
        <v>4</v>
      </c>
      <c r="AI222" s="502">
        <v>24</v>
      </c>
      <c r="AJ222" s="199"/>
    </row>
    <row r="223" spans="1:36" ht="15.75" customHeight="1" x14ac:dyDescent="0.3">
      <c r="A223" s="377">
        <v>203</v>
      </c>
      <c r="B223" s="381">
        <v>11203</v>
      </c>
      <c r="C223" s="378" t="s">
        <v>800</v>
      </c>
      <c r="D223" s="519" t="s">
        <v>593</v>
      </c>
      <c r="E223" s="423"/>
      <c r="F223" s="508">
        <v>2</v>
      </c>
      <c r="G223" s="393">
        <v>1</v>
      </c>
      <c r="H223" s="493"/>
      <c r="I223" s="493">
        <v>1</v>
      </c>
      <c r="J223" s="493">
        <v>1</v>
      </c>
      <c r="K223" s="493">
        <v>1</v>
      </c>
      <c r="L223" s="493">
        <v>0</v>
      </c>
      <c r="M223" s="493">
        <v>1</v>
      </c>
      <c r="N223" s="493">
        <v>0</v>
      </c>
      <c r="O223" s="493"/>
      <c r="P223" s="199"/>
      <c r="Q223" s="493"/>
      <c r="R223" s="493"/>
      <c r="S223" s="498"/>
      <c r="T223" s="498"/>
      <c r="U223" s="498">
        <v>1</v>
      </c>
      <c r="V223" s="498">
        <v>2</v>
      </c>
      <c r="W223" s="498"/>
      <c r="X223" s="498">
        <v>0</v>
      </c>
      <c r="Y223" s="498"/>
      <c r="Z223" s="498">
        <v>2</v>
      </c>
      <c r="AA223" s="199"/>
      <c r="AB223" s="393">
        <v>7</v>
      </c>
      <c r="AC223" s="199"/>
      <c r="AD223" s="414">
        <v>5</v>
      </c>
      <c r="AE223" s="414">
        <v>3</v>
      </c>
      <c r="AF223" s="414">
        <v>5</v>
      </c>
      <c r="AG223" s="414">
        <v>5</v>
      </c>
      <c r="AH223" s="414">
        <v>5</v>
      </c>
      <c r="AI223" s="502">
        <v>26</v>
      </c>
      <c r="AJ223" s="199"/>
    </row>
    <row r="224" spans="1:36" ht="15.75" customHeight="1" x14ac:dyDescent="0.3">
      <c r="A224" s="377">
        <v>204</v>
      </c>
      <c r="B224" s="381">
        <v>11204</v>
      </c>
      <c r="C224" s="378" t="s">
        <v>801</v>
      </c>
      <c r="D224" s="519" t="s">
        <v>594</v>
      </c>
      <c r="E224" s="423"/>
      <c r="F224" s="508">
        <v>2</v>
      </c>
      <c r="G224" s="393">
        <v>2</v>
      </c>
      <c r="H224" s="493">
        <v>1</v>
      </c>
      <c r="I224" s="493">
        <v>2</v>
      </c>
      <c r="J224" s="493"/>
      <c r="K224" s="493"/>
      <c r="L224" s="493"/>
      <c r="M224" s="493">
        <v>0</v>
      </c>
      <c r="N224" s="493">
        <v>3</v>
      </c>
      <c r="O224" s="493">
        <v>0</v>
      </c>
      <c r="P224" s="199"/>
      <c r="Q224" s="493">
        <v>2</v>
      </c>
      <c r="R224" s="493">
        <v>2</v>
      </c>
      <c r="S224" s="498">
        <v>2</v>
      </c>
      <c r="T224" s="498"/>
      <c r="U224" s="498">
        <v>2</v>
      </c>
      <c r="V224" s="498"/>
      <c r="W224" s="498">
        <v>4</v>
      </c>
      <c r="X224" s="498"/>
      <c r="Y224" s="498">
        <v>4</v>
      </c>
      <c r="Z224" s="498"/>
      <c r="AA224" s="199"/>
      <c r="AB224" s="393">
        <v>7</v>
      </c>
      <c r="AC224" s="199"/>
      <c r="AD224" s="414">
        <v>3</v>
      </c>
      <c r="AE224" s="414">
        <v>3</v>
      </c>
      <c r="AF224" s="414">
        <v>3</v>
      </c>
      <c r="AG224" s="414">
        <v>3</v>
      </c>
      <c r="AH224" s="414">
        <v>3</v>
      </c>
      <c r="AI224" s="502">
        <v>39</v>
      </c>
      <c r="AJ224" s="199"/>
    </row>
    <row r="225" spans="1:36" ht="15.75" customHeight="1" x14ac:dyDescent="0.3">
      <c r="A225" s="377">
        <v>205</v>
      </c>
      <c r="B225" s="381">
        <v>11205</v>
      </c>
      <c r="C225" s="378" t="s">
        <v>802</v>
      </c>
      <c r="D225" s="519" t="s">
        <v>595</v>
      </c>
      <c r="E225" s="423"/>
      <c r="F225" s="508">
        <v>2</v>
      </c>
      <c r="G225" s="393">
        <v>2</v>
      </c>
      <c r="H225" s="493">
        <v>1</v>
      </c>
      <c r="I225" s="493">
        <v>2</v>
      </c>
      <c r="J225" s="493"/>
      <c r="K225" s="493"/>
      <c r="L225" s="493"/>
      <c r="M225" s="493">
        <v>3</v>
      </c>
      <c r="N225" s="493">
        <v>4</v>
      </c>
      <c r="O225" s="493">
        <v>2</v>
      </c>
      <c r="P225" s="199"/>
      <c r="Q225" s="493"/>
      <c r="R225" s="493">
        <v>1</v>
      </c>
      <c r="S225" s="498">
        <v>1</v>
      </c>
      <c r="T225" s="498">
        <v>2</v>
      </c>
      <c r="U225" s="498">
        <v>2</v>
      </c>
      <c r="V225" s="498">
        <v>1</v>
      </c>
      <c r="W225" s="498"/>
      <c r="X225" s="498"/>
      <c r="Y225" s="498">
        <v>2</v>
      </c>
      <c r="Z225" s="498"/>
      <c r="AA225" s="199"/>
      <c r="AB225" s="393">
        <v>7</v>
      </c>
      <c r="AC225" s="199"/>
      <c r="AD225" s="414">
        <v>5</v>
      </c>
      <c r="AE225" s="414">
        <v>4</v>
      </c>
      <c r="AF225" s="414">
        <v>5</v>
      </c>
      <c r="AG225" s="414">
        <v>4</v>
      </c>
      <c r="AH225" s="414">
        <v>5</v>
      </c>
      <c r="AI225" s="502">
        <v>33</v>
      </c>
      <c r="AJ225" s="199"/>
    </row>
    <row r="226" spans="1:36" ht="15.75" customHeight="1" x14ac:dyDescent="0.3">
      <c r="A226" s="377">
        <v>206</v>
      </c>
      <c r="B226" s="381">
        <v>11206</v>
      </c>
      <c r="C226" s="378" t="s">
        <v>803</v>
      </c>
      <c r="D226" s="519" t="s">
        <v>596</v>
      </c>
      <c r="E226" s="242"/>
      <c r="F226" s="518">
        <v>1</v>
      </c>
      <c r="G226" s="495">
        <v>2</v>
      </c>
      <c r="H226" s="494">
        <v>2</v>
      </c>
      <c r="I226" s="494">
        <v>2</v>
      </c>
      <c r="J226" s="494"/>
      <c r="K226" s="494">
        <v>2</v>
      </c>
      <c r="L226" s="494">
        <v>2</v>
      </c>
      <c r="M226" s="494">
        <v>3</v>
      </c>
      <c r="N226" s="494">
        <v>4</v>
      </c>
      <c r="O226" s="494"/>
      <c r="P226" s="199"/>
      <c r="Q226" s="494"/>
      <c r="R226" s="494">
        <v>2</v>
      </c>
      <c r="S226" s="501">
        <v>2</v>
      </c>
      <c r="T226" s="501">
        <v>0</v>
      </c>
      <c r="U226" s="501"/>
      <c r="V226" s="501">
        <v>2</v>
      </c>
      <c r="W226" s="501"/>
      <c r="X226" s="501">
        <v>4</v>
      </c>
      <c r="Y226" s="501">
        <v>0</v>
      </c>
      <c r="Z226" s="501">
        <v>1</v>
      </c>
      <c r="AA226" s="199"/>
      <c r="AB226" s="393">
        <v>7</v>
      </c>
      <c r="AC226" s="199"/>
      <c r="AD226" s="414">
        <v>3</v>
      </c>
      <c r="AE226" s="414">
        <v>3</v>
      </c>
      <c r="AF226" s="414">
        <v>3</v>
      </c>
      <c r="AG226" s="414">
        <v>3</v>
      </c>
      <c r="AH226" s="414">
        <v>3</v>
      </c>
      <c r="AI226" s="502">
        <v>50</v>
      </c>
      <c r="AJ226" s="199"/>
    </row>
    <row r="227" spans="1:36" ht="15.75" customHeight="1" x14ac:dyDescent="0.3">
      <c r="A227" s="377">
        <v>207</v>
      </c>
      <c r="B227" s="512">
        <v>11207</v>
      </c>
      <c r="C227" s="378" t="s">
        <v>804</v>
      </c>
      <c r="D227" s="519" t="s">
        <v>597</v>
      </c>
      <c r="E227" s="423"/>
      <c r="F227" s="508">
        <v>2</v>
      </c>
      <c r="G227" s="393">
        <v>2</v>
      </c>
      <c r="H227" s="493">
        <v>2</v>
      </c>
      <c r="I227" s="493">
        <v>2</v>
      </c>
      <c r="J227" s="493"/>
      <c r="K227" s="493"/>
      <c r="L227" s="493">
        <v>4</v>
      </c>
      <c r="M227" s="493">
        <v>4</v>
      </c>
      <c r="N227" s="493"/>
      <c r="O227" s="493">
        <v>4</v>
      </c>
      <c r="P227" s="199"/>
      <c r="Q227" s="493">
        <v>0</v>
      </c>
      <c r="R227" s="493">
        <v>2</v>
      </c>
      <c r="S227" s="493">
        <v>2</v>
      </c>
      <c r="T227" s="493"/>
      <c r="U227" s="493"/>
      <c r="V227" s="493">
        <v>2</v>
      </c>
      <c r="W227" s="493"/>
      <c r="X227" s="493">
        <v>4</v>
      </c>
      <c r="Y227" s="493">
        <v>4</v>
      </c>
      <c r="Z227" s="493">
        <v>0</v>
      </c>
      <c r="AA227" s="199"/>
      <c r="AB227" s="393">
        <v>8</v>
      </c>
      <c r="AC227" s="199"/>
      <c r="AD227" s="414">
        <v>5</v>
      </c>
      <c r="AE227" s="414">
        <v>4</v>
      </c>
      <c r="AF227" s="414">
        <v>4</v>
      </c>
      <c r="AG227" s="414">
        <v>4</v>
      </c>
      <c r="AH227" s="414">
        <v>4</v>
      </c>
      <c r="AI227" s="502">
        <v>60</v>
      </c>
      <c r="AJ227" s="199"/>
    </row>
    <row r="228" spans="1:36" ht="15.75" customHeight="1" x14ac:dyDescent="0.3">
      <c r="D228" s="82"/>
      <c r="E228" s="199"/>
      <c r="F228" s="199"/>
      <c r="G228" s="199"/>
      <c r="H228" s="199"/>
      <c r="I228" s="199"/>
      <c r="J228" s="199"/>
      <c r="K228" s="199"/>
      <c r="L228" s="199"/>
      <c r="M228" s="199"/>
      <c r="N228" s="199"/>
      <c r="O228" s="199"/>
      <c r="P228" s="199"/>
      <c r="Q228" s="199"/>
      <c r="R228" s="199"/>
      <c r="S228" s="199"/>
      <c r="T228" s="199"/>
      <c r="U228" s="199"/>
      <c r="V228" s="199"/>
      <c r="W228" s="199"/>
      <c r="X228" s="199"/>
      <c r="Y228" s="199"/>
      <c r="Z228" s="199"/>
      <c r="AA228" s="199"/>
      <c r="AB228" s="199"/>
      <c r="AC228" s="199"/>
      <c r="AD228" s="199"/>
      <c r="AE228" s="199"/>
      <c r="AF228" s="199"/>
      <c r="AG228" s="199"/>
      <c r="AH228" s="199"/>
      <c r="AI228" s="199"/>
      <c r="AJ228" s="199"/>
    </row>
    <row r="229" spans="1:36" ht="15.75" customHeight="1" x14ac:dyDescent="0.3">
      <c r="D229" s="82"/>
      <c r="E229" s="199"/>
      <c r="F229" s="199"/>
      <c r="G229" s="199"/>
      <c r="H229" s="199"/>
      <c r="I229" s="199"/>
      <c r="J229" s="199"/>
      <c r="K229" s="199"/>
      <c r="L229" s="199"/>
      <c r="M229" s="199"/>
      <c r="N229" s="199"/>
      <c r="O229" s="199"/>
      <c r="P229" s="199"/>
      <c r="Q229" s="199"/>
      <c r="R229" s="199"/>
      <c r="S229" s="199"/>
      <c r="T229" s="199"/>
      <c r="U229" s="199"/>
      <c r="V229" s="199"/>
      <c r="W229" s="199"/>
      <c r="X229" s="199"/>
      <c r="Y229" s="199"/>
      <c r="Z229" s="199"/>
      <c r="AA229" s="199"/>
      <c r="AB229" s="199"/>
      <c r="AC229" s="199"/>
      <c r="AD229" s="199"/>
      <c r="AE229" s="199"/>
      <c r="AF229" s="199"/>
      <c r="AG229" s="199"/>
      <c r="AH229" s="199"/>
      <c r="AI229" s="199"/>
      <c r="AJ229" s="199"/>
    </row>
    <row r="230" spans="1:36" ht="15.75" customHeight="1" x14ac:dyDescent="0.3">
      <c r="D230" s="82"/>
      <c r="E230" s="199"/>
      <c r="F230" s="199"/>
      <c r="G230" s="199"/>
      <c r="H230" s="199"/>
      <c r="I230" s="199"/>
      <c r="J230" s="199"/>
      <c r="K230" s="199"/>
      <c r="L230" s="199"/>
      <c r="M230" s="199"/>
      <c r="N230" s="199"/>
      <c r="O230" s="199"/>
      <c r="P230" s="199"/>
      <c r="Q230" s="199"/>
      <c r="R230" s="199"/>
      <c r="S230" s="199"/>
      <c r="T230" s="199"/>
      <c r="U230" s="199"/>
      <c r="V230" s="199"/>
      <c r="W230" s="199"/>
      <c r="X230" s="199"/>
      <c r="Y230" s="199"/>
      <c r="Z230" s="199"/>
      <c r="AA230" s="199"/>
      <c r="AB230" s="199"/>
      <c r="AC230" s="199"/>
      <c r="AD230" s="199"/>
      <c r="AE230" s="199"/>
      <c r="AF230" s="199"/>
      <c r="AG230" s="199"/>
      <c r="AH230" s="199"/>
      <c r="AI230" s="199"/>
      <c r="AJ230" s="199"/>
    </row>
    <row r="231" spans="1:36" ht="15.75" customHeight="1" x14ac:dyDescent="0.3">
      <c r="D231" s="82"/>
      <c r="E231" s="199"/>
      <c r="F231" s="199"/>
      <c r="G231" s="199"/>
      <c r="H231" s="199"/>
      <c r="I231" s="199"/>
      <c r="J231" s="199"/>
      <c r="K231" s="199"/>
      <c r="L231" s="199"/>
      <c r="M231" s="199"/>
      <c r="N231" s="199"/>
      <c r="O231" s="199"/>
      <c r="P231" s="199"/>
      <c r="Q231" s="199"/>
      <c r="R231" s="199"/>
      <c r="S231" s="199"/>
      <c r="T231" s="199"/>
      <c r="U231" s="199"/>
      <c r="V231" s="199"/>
      <c r="W231" s="199"/>
      <c r="X231" s="199"/>
      <c r="Y231" s="199"/>
      <c r="Z231" s="199"/>
      <c r="AA231" s="199"/>
      <c r="AB231" s="199"/>
      <c r="AC231" s="199"/>
      <c r="AD231" s="199"/>
      <c r="AE231" s="199"/>
      <c r="AF231" s="199"/>
      <c r="AG231" s="199"/>
      <c r="AH231" s="199"/>
      <c r="AI231" s="199"/>
      <c r="AJ231" s="199"/>
    </row>
    <row r="232" spans="1:36" ht="15.75" customHeight="1" x14ac:dyDescent="0.3">
      <c r="D232" s="82"/>
      <c r="E232" s="199"/>
      <c r="F232" s="199"/>
      <c r="G232" s="199"/>
      <c r="H232" s="199"/>
      <c r="I232" s="199"/>
      <c r="J232" s="199"/>
      <c r="K232" s="199"/>
      <c r="L232" s="199"/>
      <c r="M232" s="199"/>
      <c r="N232" s="199"/>
      <c r="O232" s="199"/>
      <c r="P232" s="199"/>
      <c r="Q232" s="199"/>
      <c r="R232" s="199"/>
      <c r="S232" s="199"/>
      <c r="T232" s="199"/>
      <c r="U232" s="199"/>
      <c r="V232" s="199"/>
      <c r="W232" s="199"/>
      <c r="X232" s="199"/>
      <c r="Y232" s="199"/>
      <c r="Z232" s="199"/>
      <c r="AA232" s="199"/>
      <c r="AB232" s="199"/>
      <c r="AC232" s="199"/>
      <c r="AD232" s="199"/>
      <c r="AE232" s="199"/>
      <c r="AF232" s="199"/>
      <c r="AG232" s="199"/>
      <c r="AH232" s="199"/>
      <c r="AI232" s="199"/>
      <c r="AJ232" s="199"/>
    </row>
    <row r="233" spans="1:36" ht="15.75" customHeight="1" x14ac:dyDescent="0.3">
      <c r="D233" s="82"/>
      <c r="E233" s="199"/>
      <c r="F233" s="199"/>
      <c r="G233" s="199"/>
      <c r="H233" s="199"/>
      <c r="I233" s="199"/>
      <c r="J233" s="199"/>
      <c r="K233" s="199"/>
      <c r="L233" s="199"/>
      <c r="M233" s="199"/>
      <c r="N233" s="199"/>
      <c r="O233" s="199"/>
      <c r="P233" s="199"/>
      <c r="Q233" s="199"/>
      <c r="R233" s="199"/>
      <c r="S233" s="199"/>
      <c r="T233" s="199"/>
      <c r="U233" s="199"/>
      <c r="V233" s="199"/>
      <c r="W233" s="199"/>
      <c r="X233" s="199"/>
      <c r="Y233" s="199"/>
      <c r="Z233" s="199"/>
      <c r="AA233" s="199"/>
      <c r="AB233" s="199"/>
      <c r="AC233" s="199"/>
      <c r="AD233" s="199"/>
      <c r="AE233" s="199"/>
      <c r="AF233" s="199"/>
      <c r="AG233" s="199"/>
      <c r="AH233" s="199"/>
      <c r="AI233" s="199"/>
      <c r="AJ233" s="199"/>
    </row>
    <row r="234" spans="1:36" ht="15.75" customHeight="1" x14ac:dyDescent="0.3">
      <c r="C234" s="65"/>
      <c r="D234" s="1"/>
      <c r="E234" s="1"/>
      <c r="F234" s="65"/>
      <c r="G234" s="1"/>
      <c r="H234" s="1"/>
      <c r="I234" s="1"/>
      <c r="J234" s="65"/>
      <c r="K234" s="199"/>
      <c r="L234" s="199"/>
      <c r="M234" s="199"/>
      <c r="N234" s="199"/>
      <c r="O234" s="199"/>
      <c r="P234" s="199"/>
      <c r="Q234" s="199"/>
      <c r="R234" s="199"/>
      <c r="S234" s="199"/>
      <c r="T234" s="199"/>
      <c r="U234" s="199"/>
      <c r="V234" s="199"/>
      <c r="W234" s="199"/>
      <c r="X234" s="199"/>
      <c r="Y234" s="199"/>
      <c r="Z234" s="199"/>
      <c r="AA234" s="199"/>
      <c r="AB234" s="199"/>
      <c r="AC234" s="199"/>
      <c r="AD234" s="199"/>
      <c r="AE234" s="199"/>
      <c r="AF234" s="199"/>
      <c r="AG234" s="199"/>
      <c r="AH234" s="199"/>
      <c r="AI234" s="199"/>
      <c r="AJ234" s="199"/>
    </row>
    <row r="235" spans="1:36" ht="15.75" customHeight="1" x14ac:dyDescent="0.3">
      <c r="D235" s="82"/>
      <c r="E235" s="199"/>
      <c r="F235" s="199"/>
      <c r="G235" s="199"/>
      <c r="H235" s="199"/>
      <c r="I235" s="199"/>
      <c r="J235" s="199"/>
      <c r="K235" s="199"/>
      <c r="L235" s="199"/>
      <c r="M235" s="199"/>
      <c r="N235" s="199"/>
      <c r="O235" s="199"/>
      <c r="P235" s="199"/>
      <c r="Q235" s="199"/>
      <c r="R235" s="199"/>
      <c r="S235" s="199"/>
      <c r="T235" s="199"/>
      <c r="U235" s="199"/>
      <c r="V235" s="199"/>
      <c r="W235" s="199"/>
      <c r="X235" s="199"/>
      <c r="Y235" s="199"/>
      <c r="Z235" s="199"/>
      <c r="AA235" s="199"/>
      <c r="AB235" s="199"/>
      <c r="AC235" s="199"/>
      <c r="AD235" s="199"/>
      <c r="AE235" s="199"/>
      <c r="AF235" s="199"/>
      <c r="AG235" s="199"/>
      <c r="AH235" s="199"/>
      <c r="AI235" s="199"/>
      <c r="AJ235" s="199"/>
    </row>
    <row r="236" spans="1:36" ht="15.75" customHeight="1" x14ac:dyDescent="0.3">
      <c r="D236" s="82"/>
      <c r="E236" s="199"/>
      <c r="F236" s="199"/>
      <c r="G236" s="199"/>
      <c r="H236" s="199"/>
      <c r="I236" s="199"/>
      <c r="J236" s="199"/>
      <c r="K236" s="199"/>
      <c r="L236" s="199"/>
      <c r="M236" s="199"/>
      <c r="N236" s="199"/>
      <c r="O236" s="199"/>
      <c r="P236" s="199"/>
      <c r="Q236" s="199"/>
      <c r="R236" s="199"/>
      <c r="S236" s="199"/>
      <c r="T236" s="199"/>
      <c r="U236" s="199"/>
      <c r="V236" s="199"/>
      <c r="W236" s="199"/>
      <c r="X236" s="199"/>
      <c r="Y236" s="199"/>
      <c r="Z236" s="199"/>
      <c r="AA236" s="199"/>
      <c r="AB236" s="199"/>
      <c r="AC236" s="199"/>
      <c r="AD236" s="199"/>
      <c r="AE236" s="199"/>
      <c r="AF236" s="199"/>
      <c r="AG236" s="199"/>
      <c r="AH236" s="199"/>
      <c r="AI236" s="199"/>
      <c r="AJ236" s="199"/>
    </row>
    <row r="237" spans="1:36" ht="15.75" customHeight="1" x14ac:dyDescent="0.3">
      <c r="D237" s="82"/>
      <c r="E237" s="199"/>
      <c r="F237" s="199"/>
      <c r="G237" s="199"/>
      <c r="H237" s="199"/>
      <c r="I237" s="199"/>
      <c r="J237" s="199"/>
      <c r="K237" s="199"/>
      <c r="L237" s="199"/>
      <c r="M237" s="199"/>
      <c r="N237" s="199"/>
      <c r="O237" s="199"/>
      <c r="P237" s="199"/>
      <c r="Q237" s="199"/>
      <c r="R237" s="199"/>
      <c r="S237" s="199"/>
      <c r="T237" s="199"/>
      <c r="U237" s="199"/>
      <c r="V237" s="199"/>
      <c r="W237" s="199"/>
      <c r="X237" s="199"/>
      <c r="Y237" s="199"/>
      <c r="Z237" s="199"/>
      <c r="AA237" s="199"/>
      <c r="AB237" s="199"/>
      <c r="AC237" s="199"/>
      <c r="AD237" s="199"/>
      <c r="AE237" s="199"/>
      <c r="AF237" s="199"/>
      <c r="AG237" s="199"/>
      <c r="AH237" s="199"/>
      <c r="AI237" s="199"/>
      <c r="AJ237" s="199"/>
    </row>
    <row r="238" spans="1:36" ht="15.75" customHeight="1" x14ac:dyDescent="0.3">
      <c r="D238" s="82"/>
      <c r="E238" s="199"/>
      <c r="F238" s="199"/>
      <c r="G238" s="199"/>
      <c r="H238" s="199"/>
      <c r="I238" s="199"/>
      <c r="J238" s="199"/>
      <c r="K238" s="199"/>
      <c r="L238" s="199"/>
      <c r="M238" s="199"/>
      <c r="N238" s="199"/>
      <c r="O238" s="199"/>
      <c r="P238" s="199"/>
      <c r="Q238" s="199"/>
      <c r="R238" s="199"/>
      <c r="S238" s="199"/>
      <c r="T238" s="199"/>
      <c r="U238" s="199"/>
      <c r="V238" s="199"/>
      <c r="W238" s="199"/>
      <c r="X238" s="199"/>
      <c r="Y238" s="199"/>
      <c r="Z238" s="199"/>
      <c r="AA238" s="199"/>
      <c r="AB238" s="199"/>
      <c r="AC238" s="199"/>
      <c r="AD238" s="199"/>
      <c r="AE238" s="199"/>
      <c r="AF238" s="199"/>
      <c r="AG238" s="199"/>
      <c r="AH238" s="199"/>
      <c r="AI238" s="199"/>
      <c r="AJ238" s="199"/>
    </row>
    <row r="239" spans="1:36" ht="15.75" customHeight="1" x14ac:dyDescent="0.3">
      <c r="D239" s="82"/>
      <c r="E239" s="199"/>
      <c r="F239" s="199"/>
      <c r="G239" s="199"/>
      <c r="H239" s="199"/>
      <c r="I239" s="199"/>
      <c r="J239" s="199"/>
      <c r="K239" s="199"/>
      <c r="L239" s="199"/>
      <c r="M239" s="199"/>
      <c r="N239" s="199"/>
      <c r="O239" s="199"/>
      <c r="P239" s="199"/>
      <c r="Q239" s="199"/>
      <c r="R239" s="199"/>
      <c r="S239" s="199"/>
      <c r="T239" s="199"/>
      <c r="U239" s="199"/>
      <c r="V239" s="199"/>
      <c r="W239" s="199"/>
      <c r="X239" s="199"/>
      <c r="Y239" s="199"/>
      <c r="Z239" s="199"/>
      <c r="AA239" s="199"/>
      <c r="AB239" s="199"/>
      <c r="AC239" s="199"/>
      <c r="AD239" s="199"/>
      <c r="AE239" s="199"/>
      <c r="AF239" s="199"/>
      <c r="AG239" s="199"/>
      <c r="AH239" s="199"/>
      <c r="AI239" s="199"/>
      <c r="AJ239" s="199"/>
    </row>
    <row r="240" spans="1:36" ht="15.75" customHeight="1" x14ac:dyDescent="0.3">
      <c r="D240" s="82"/>
      <c r="E240" s="199"/>
      <c r="F240" s="199"/>
      <c r="G240" s="199"/>
      <c r="H240" s="199"/>
      <c r="I240" s="199"/>
      <c r="J240" s="199"/>
      <c r="K240" s="199"/>
      <c r="L240" s="199"/>
      <c r="M240" s="199"/>
      <c r="N240" s="199"/>
      <c r="O240" s="199"/>
      <c r="P240" s="199"/>
      <c r="Q240" s="199"/>
      <c r="R240" s="199"/>
      <c r="S240" s="199"/>
      <c r="T240" s="199"/>
      <c r="U240" s="199"/>
      <c r="V240" s="199"/>
      <c r="W240" s="199"/>
      <c r="X240" s="199"/>
      <c r="Y240" s="199"/>
      <c r="Z240" s="199"/>
      <c r="AA240" s="199"/>
      <c r="AB240" s="199"/>
      <c r="AC240" s="199"/>
      <c r="AD240" s="199"/>
      <c r="AE240" s="199"/>
      <c r="AF240" s="199"/>
      <c r="AG240" s="199"/>
      <c r="AH240" s="199"/>
      <c r="AI240" s="199"/>
      <c r="AJ240" s="199"/>
    </row>
    <row r="241" spans="4:36" ht="15.75" customHeight="1" x14ac:dyDescent="0.3">
      <c r="D241" s="82"/>
      <c r="E241" s="199"/>
      <c r="F241" s="199"/>
      <c r="G241" s="199"/>
      <c r="H241" s="199"/>
      <c r="I241" s="199"/>
      <c r="J241" s="199"/>
      <c r="K241" s="199"/>
      <c r="L241" s="199"/>
      <c r="M241" s="199"/>
      <c r="N241" s="199"/>
      <c r="O241" s="199"/>
      <c r="P241" s="199"/>
      <c r="Q241" s="199"/>
      <c r="R241" s="199"/>
      <c r="S241" s="199"/>
      <c r="T241" s="199"/>
      <c r="U241" s="199"/>
      <c r="V241" s="199"/>
      <c r="W241" s="199"/>
      <c r="X241" s="199"/>
      <c r="Y241" s="199"/>
      <c r="Z241" s="199"/>
      <c r="AA241" s="199"/>
      <c r="AB241" s="199"/>
      <c r="AC241" s="199"/>
      <c r="AD241" s="199"/>
      <c r="AE241" s="199"/>
      <c r="AF241" s="199"/>
      <c r="AG241" s="199"/>
      <c r="AH241" s="199"/>
      <c r="AI241" s="199"/>
      <c r="AJ241" s="199"/>
    </row>
    <row r="242" spans="4:36" ht="15.75" customHeight="1" x14ac:dyDescent="0.3">
      <c r="D242" s="82"/>
      <c r="E242" s="199"/>
      <c r="F242" s="199"/>
      <c r="G242" s="199"/>
      <c r="H242" s="199"/>
      <c r="I242" s="199"/>
      <c r="J242" s="199"/>
      <c r="K242" s="199"/>
      <c r="L242" s="199"/>
      <c r="M242" s="199"/>
      <c r="N242" s="199"/>
      <c r="O242" s="199"/>
      <c r="P242" s="199"/>
      <c r="Q242" s="199"/>
      <c r="R242" s="199"/>
      <c r="S242" s="199"/>
      <c r="T242" s="199"/>
      <c r="U242" s="199"/>
      <c r="V242" s="199"/>
      <c r="W242" s="199"/>
      <c r="X242" s="199"/>
      <c r="Y242" s="199"/>
      <c r="Z242" s="199"/>
      <c r="AA242" s="199"/>
      <c r="AB242" s="199"/>
      <c r="AC242" s="199"/>
      <c r="AD242" s="199"/>
      <c r="AE242" s="199"/>
      <c r="AF242" s="199"/>
      <c r="AG242" s="199"/>
      <c r="AH242" s="199"/>
      <c r="AI242" s="199"/>
      <c r="AJ242" s="199"/>
    </row>
    <row r="243" spans="4:36" ht="15.75" customHeight="1" x14ac:dyDescent="0.3">
      <c r="D243" s="82"/>
      <c r="E243" s="199"/>
      <c r="F243" s="199"/>
      <c r="G243" s="199"/>
      <c r="H243" s="199"/>
      <c r="I243" s="199"/>
      <c r="J243" s="199"/>
      <c r="K243" s="199"/>
      <c r="L243" s="199"/>
      <c r="M243" s="199"/>
      <c r="N243" s="199"/>
      <c r="O243" s="199"/>
      <c r="P243" s="199"/>
      <c r="Q243" s="199"/>
      <c r="R243" s="199"/>
      <c r="S243" s="199"/>
      <c r="T243" s="199"/>
      <c r="U243" s="199"/>
      <c r="V243" s="199"/>
      <c r="W243" s="199"/>
      <c r="X243" s="199"/>
      <c r="Y243" s="199"/>
      <c r="Z243" s="199"/>
      <c r="AA243" s="199"/>
      <c r="AB243" s="199"/>
      <c r="AC243" s="199"/>
      <c r="AD243" s="199"/>
      <c r="AE243" s="199"/>
      <c r="AF243" s="199"/>
      <c r="AG243" s="199"/>
      <c r="AH243" s="199"/>
      <c r="AI243" s="199"/>
      <c r="AJ243" s="199"/>
    </row>
    <row r="244" spans="4:36" ht="15.75" customHeight="1" x14ac:dyDescent="0.3">
      <c r="D244" s="82"/>
      <c r="E244" s="199"/>
      <c r="F244" s="199"/>
      <c r="G244" s="199"/>
      <c r="H244" s="199"/>
      <c r="I244" s="199"/>
      <c r="J244" s="199"/>
      <c r="K244" s="199"/>
      <c r="L244" s="199"/>
      <c r="M244" s="199"/>
      <c r="N244" s="199"/>
      <c r="O244" s="199"/>
      <c r="P244" s="199"/>
      <c r="Q244" s="199"/>
      <c r="R244" s="199"/>
      <c r="S244" s="199"/>
      <c r="T244" s="199"/>
      <c r="U244" s="199"/>
      <c r="V244" s="199"/>
      <c r="W244" s="199"/>
      <c r="X244" s="199"/>
      <c r="Y244" s="199"/>
      <c r="Z244" s="199"/>
      <c r="AA244" s="199"/>
      <c r="AB244" s="199"/>
      <c r="AC244" s="199"/>
      <c r="AD244" s="199"/>
      <c r="AE244" s="199"/>
      <c r="AF244" s="199"/>
      <c r="AG244" s="199"/>
      <c r="AH244" s="199"/>
      <c r="AI244" s="199"/>
      <c r="AJ244" s="199"/>
    </row>
    <row r="245" spans="4:36" ht="15.75" customHeight="1" x14ac:dyDescent="0.3">
      <c r="D245" s="82"/>
      <c r="E245" s="199"/>
      <c r="F245" s="199"/>
      <c r="G245" s="199"/>
      <c r="H245" s="199"/>
      <c r="I245" s="199"/>
      <c r="J245" s="199"/>
      <c r="K245" s="199"/>
      <c r="L245" s="199"/>
      <c r="M245" s="199"/>
      <c r="N245" s="199"/>
      <c r="O245" s="199"/>
      <c r="P245" s="199"/>
      <c r="Q245" s="199"/>
      <c r="R245" s="199"/>
      <c r="S245" s="199"/>
      <c r="T245" s="199"/>
      <c r="U245" s="199"/>
      <c r="V245" s="199"/>
      <c r="W245" s="199"/>
      <c r="X245" s="199"/>
      <c r="Y245" s="199"/>
      <c r="Z245" s="199"/>
      <c r="AA245" s="199"/>
      <c r="AB245" s="199"/>
      <c r="AC245" s="199"/>
      <c r="AD245" s="199"/>
      <c r="AE245" s="199"/>
      <c r="AF245" s="199"/>
      <c r="AG245" s="199"/>
      <c r="AH245" s="199"/>
      <c r="AI245" s="199"/>
      <c r="AJ245" s="199"/>
    </row>
    <row r="246" spans="4:36" ht="15.75" customHeight="1" x14ac:dyDescent="0.3">
      <c r="D246" s="82"/>
      <c r="E246" s="199"/>
      <c r="F246" s="199"/>
      <c r="G246" s="199"/>
      <c r="H246" s="199"/>
      <c r="I246" s="199"/>
      <c r="J246" s="199"/>
      <c r="K246" s="199"/>
      <c r="L246" s="199"/>
      <c r="M246" s="199"/>
      <c r="N246" s="199"/>
      <c r="O246" s="199"/>
      <c r="P246" s="199"/>
      <c r="Q246" s="199"/>
      <c r="R246" s="199"/>
      <c r="S246" s="199"/>
      <c r="T246" s="199"/>
      <c r="U246" s="199"/>
      <c r="V246" s="199"/>
      <c r="W246" s="199"/>
      <c r="X246" s="199"/>
      <c r="Y246" s="199"/>
      <c r="Z246" s="199"/>
      <c r="AA246" s="199"/>
      <c r="AB246" s="199"/>
      <c r="AC246" s="199"/>
      <c r="AD246" s="199"/>
      <c r="AE246" s="199"/>
      <c r="AF246" s="199"/>
      <c r="AG246" s="199"/>
      <c r="AH246" s="199"/>
      <c r="AI246" s="199"/>
      <c r="AJ246" s="199"/>
    </row>
    <row r="247" spans="4:36" ht="15.75" customHeight="1" x14ac:dyDescent="0.3">
      <c r="D247" s="82"/>
      <c r="E247" s="199"/>
      <c r="F247" s="199"/>
      <c r="G247" s="199"/>
      <c r="H247" s="199"/>
      <c r="I247" s="199"/>
      <c r="J247" s="199"/>
      <c r="K247" s="199"/>
      <c r="L247" s="199"/>
      <c r="M247" s="199"/>
      <c r="N247" s="199"/>
      <c r="O247" s="199"/>
      <c r="P247" s="199"/>
      <c r="Q247" s="199"/>
      <c r="R247" s="199"/>
      <c r="S247" s="199"/>
      <c r="T247" s="199"/>
      <c r="U247" s="199"/>
      <c r="V247" s="199"/>
      <c r="W247" s="199"/>
      <c r="X247" s="199"/>
      <c r="Y247" s="199"/>
      <c r="Z247" s="199"/>
      <c r="AA247" s="199"/>
      <c r="AB247" s="199"/>
      <c r="AC247" s="199"/>
      <c r="AD247" s="199"/>
      <c r="AE247" s="199"/>
      <c r="AF247" s="199"/>
      <c r="AG247" s="199"/>
      <c r="AH247" s="199"/>
      <c r="AI247" s="199"/>
      <c r="AJ247" s="199"/>
    </row>
    <row r="248" spans="4:36" ht="15.75" customHeight="1" x14ac:dyDescent="0.3">
      <c r="D248" s="82"/>
      <c r="E248" s="199"/>
      <c r="F248" s="199"/>
      <c r="G248" s="199"/>
      <c r="H248" s="199"/>
      <c r="I248" s="199"/>
      <c r="J248" s="199"/>
      <c r="K248" s="199"/>
      <c r="L248" s="199"/>
      <c r="M248" s="199"/>
      <c r="N248" s="199"/>
      <c r="O248" s="199"/>
      <c r="P248" s="199"/>
      <c r="Q248" s="199"/>
      <c r="R248" s="199"/>
      <c r="S248" s="199"/>
      <c r="T248" s="199"/>
      <c r="U248" s="199"/>
      <c r="V248" s="199"/>
      <c r="W248" s="199"/>
      <c r="X248" s="199"/>
      <c r="Y248" s="199"/>
      <c r="Z248" s="199"/>
      <c r="AA248" s="199"/>
      <c r="AB248" s="199"/>
      <c r="AC248" s="199"/>
      <c r="AD248" s="199"/>
      <c r="AE248" s="199"/>
      <c r="AF248" s="199"/>
      <c r="AG248" s="199"/>
      <c r="AH248" s="199"/>
      <c r="AI248" s="199"/>
      <c r="AJ248" s="199"/>
    </row>
    <row r="249" spans="4:36" ht="15.75" customHeight="1" x14ac:dyDescent="0.3">
      <c r="D249" s="82"/>
      <c r="E249" s="199"/>
      <c r="F249" s="199"/>
      <c r="G249" s="199"/>
      <c r="H249" s="199"/>
      <c r="I249" s="199"/>
      <c r="J249" s="199"/>
      <c r="K249" s="199"/>
      <c r="L249" s="199"/>
      <c r="M249" s="199"/>
      <c r="N249" s="199"/>
      <c r="O249" s="199"/>
      <c r="P249" s="199"/>
      <c r="Q249" s="199"/>
      <c r="R249" s="199"/>
      <c r="S249" s="199"/>
      <c r="T249" s="199"/>
      <c r="U249" s="199"/>
      <c r="V249" s="199"/>
      <c r="W249" s="199"/>
      <c r="X249" s="199"/>
      <c r="Y249" s="199"/>
      <c r="Z249" s="199"/>
      <c r="AA249" s="199"/>
      <c r="AB249" s="199"/>
      <c r="AC249" s="199"/>
      <c r="AD249" s="199"/>
      <c r="AE249" s="199"/>
      <c r="AF249" s="199"/>
      <c r="AG249" s="199"/>
      <c r="AH249" s="199"/>
      <c r="AI249" s="199"/>
      <c r="AJ249" s="199"/>
    </row>
    <row r="250" spans="4:36" ht="15.75" customHeight="1" x14ac:dyDescent="0.3">
      <c r="D250" s="82"/>
      <c r="E250" s="199"/>
      <c r="F250" s="199"/>
      <c r="G250" s="199"/>
      <c r="H250" s="199"/>
      <c r="I250" s="199"/>
      <c r="J250" s="199"/>
      <c r="K250" s="199"/>
      <c r="L250" s="199"/>
      <c r="M250" s="199"/>
      <c r="N250" s="199"/>
      <c r="O250" s="199"/>
      <c r="P250" s="199"/>
      <c r="Q250" s="199"/>
      <c r="R250" s="199"/>
      <c r="S250" s="199"/>
      <c r="T250" s="199"/>
      <c r="U250" s="199"/>
      <c r="V250" s="199"/>
      <c r="W250" s="199"/>
      <c r="X250" s="199"/>
      <c r="Y250" s="199"/>
      <c r="Z250" s="199"/>
      <c r="AA250" s="199"/>
      <c r="AB250" s="199"/>
      <c r="AC250" s="199"/>
      <c r="AD250" s="199"/>
      <c r="AE250" s="199"/>
      <c r="AF250" s="199"/>
      <c r="AG250" s="199"/>
      <c r="AH250" s="199"/>
      <c r="AI250" s="199"/>
      <c r="AJ250" s="199"/>
    </row>
    <row r="251" spans="4:36" ht="15.75" customHeight="1" x14ac:dyDescent="0.3">
      <c r="D251" s="82"/>
      <c r="E251" s="199"/>
      <c r="F251" s="199"/>
      <c r="G251" s="199"/>
      <c r="H251" s="199"/>
      <c r="I251" s="199"/>
      <c r="J251" s="199"/>
      <c r="K251" s="199"/>
      <c r="L251" s="199"/>
      <c r="M251" s="199"/>
      <c r="N251" s="199"/>
      <c r="O251" s="199"/>
      <c r="P251" s="199"/>
      <c r="Q251" s="199"/>
      <c r="R251" s="199"/>
      <c r="S251" s="199"/>
      <c r="T251" s="199"/>
      <c r="U251" s="199"/>
      <c r="V251" s="199"/>
      <c r="W251" s="199"/>
      <c r="X251" s="199"/>
      <c r="Y251" s="199"/>
      <c r="Z251" s="199"/>
      <c r="AA251" s="199"/>
      <c r="AB251" s="199"/>
      <c r="AC251" s="199"/>
      <c r="AD251" s="199"/>
      <c r="AE251" s="199"/>
      <c r="AF251" s="199"/>
      <c r="AG251" s="199"/>
      <c r="AH251" s="199"/>
      <c r="AI251" s="199"/>
      <c r="AJ251" s="199"/>
    </row>
    <row r="252" spans="4:36" ht="15.75" customHeight="1" x14ac:dyDescent="0.3">
      <c r="D252" s="82"/>
      <c r="E252" s="199"/>
      <c r="F252" s="199"/>
      <c r="G252" s="199"/>
      <c r="H252" s="199"/>
      <c r="I252" s="199"/>
      <c r="J252" s="199"/>
      <c r="K252" s="199"/>
      <c r="L252" s="199"/>
      <c r="M252" s="199"/>
      <c r="N252" s="199"/>
      <c r="O252" s="199"/>
      <c r="P252" s="199"/>
      <c r="Q252" s="199"/>
      <c r="R252" s="199"/>
      <c r="S252" s="199"/>
      <c r="T252" s="199"/>
      <c r="U252" s="199"/>
      <c r="V252" s="199"/>
      <c r="W252" s="199"/>
      <c r="X252" s="199"/>
      <c r="Y252" s="199"/>
      <c r="Z252" s="199"/>
      <c r="AA252" s="199"/>
      <c r="AB252" s="199"/>
      <c r="AC252" s="199"/>
      <c r="AD252" s="199"/>
      <c r="AE252" s="199"/>
      <c r="AF252" s="199"/>
      <c r="AG252" s="199"/>
      <c r="AH252" s="199"/>
      <c r="AI252" s="199"/>
      <c r="AJ252" s="199"/>
    </row>
    <row r="253" spans="4:36" ht="15.75" customHeight="1" x14ac:dyDescent="0.3">
      <c r="D253" s="82"/>
      <c r="E253" s="199"/>
      <c r="F253" s="199"/>
      <c r="G253" s="199"/>
      <c r="H253" s="199"/>
      <c r="I253" s="199"/>
      <c r="J253" s="199"/>
      <c r="K253" s="199"/>
      <c r="L253" s="199"/>
      <c r="M253" s="199"/>
      <c r="N253" s="199"/>
      <c r="O253" s="199"/>
      <c r="P253" s="199"/>
      <c r="Q253" s="199"/>
      <c r="R253" s="199"/>
      <c r="S253" s="199"/>
      <c r="T253" s="199"/>
      <c r="U253" s="199"/>
      <c r="V253" s="199"/>
      <c r="W253" s="199"/>
      <c r="X253" s="199"/>
      <c r="Y253" s="199"/>
      <c r="Z253" s="199"/>
      <c r="AA253" s="199"/>
      <c r="AB253" s="199"/>
      <c r="AC253" s="199"/>
      <c r="AD253" s="199"/>
      <c r="AE253" s="199"/>
      <c r="AF253" s="199"/>
      <c r="AG253" s="199"/>
      <c r="AH253" s="199"/>
      <c r="AI253" s="199"/>
      <c r="AJ253" s="199"/>
    </row>
    <row r="254" spans="4:36" ht="15.75" customHeight="1" x14ac:dyDescent="0.3">
      <c r="D254" s="82"/>
      <c r="E254" s="199"/>
      <c r="F254" s="199"/>
      <c r="G254" s="199"/>
      <c r="H254" s="199"/>
      <c r="I254" s="199"/>
      <c r="J254" s="199"/>
      <c r="K254" s="199"/>
      <c r="L254" s="199"/>
      <c r="M254" s="199"/>
      <c r="N254" s="199"/>
      <c r="O254" s="199"/>
      <c r="P254" s="199"/>
      <c r="Q254" s="199"/>
      <c r="R254" s="199"/>
      <c r="S254" s="199"/>
      <c r="T254" s="199"/>
      <c r="U254" s="199"/>
      <c r="V254" s="199"/>
      <c r="W254" s="199"/>
      <c r="X254" s="199"/>
      <c r="Y254" s="199"/>
      <c r="Z254" s="199"/>
      <c r="AA254" s="199"/>
      <c r="AB254" s="199"/>
      <c r="AC254" s="199"/>
      <c r="AD254" s="199"/>
      <c r="AE254" s="199"/>
      <c r="AF254" s="199"/>
      <c r="AG254" s="199"/>
      <c r="AH254" s="199"/>
      <c r="AI254" s="199"/>
      <c r="AJ254" s="199"/>
    </row>
    <row r="255" spans="4:36" ht="15.75" customHeight="1" x14ac:dyDescent="0.3">
      <c r="D255" s="82"/>
      <c r="E255" s="199"/>
      <c r="F255" s="199"/>
      <c r="G255" s="199"/>
      <c r="H255" s="199"/>
      <c r="I255" s="199"/>
      <c r="J255" s="199"/>
      <c r="K255" s="199"/>
      <c r="L255" s="199"/>
      <c r="M255" s="199"/>
      <c r="N255" s="199"/>
      <c r="O255" s="199"/>
      <c r="P255" s="199"/>
      <c r="Q255" s="199"/>
      <c r="R255" s="199"/>
      <c r="S255" s="199"/>
      <c r="T255" s="199"/>
      <c r="U255" s="199"/>
      <c r="V255" s="199"/>
      <c r="W255" s="199"/>
      <c r="X255" s="199"/>
      <c r="Y255" s="199"/>
      <c r="Z255" s="199"/>
      <c r="AA255" s="199"/>
      <c r="AB255" s="199"/>
      <c r="AC255" s="199"/>
      <c r="AD255" s="199"/>
      <c r="AE255" s="199"/>
      <c r="AF255" s="199"/>
      <c r="AG255" s="199"/>
      <c r="AH255" s="199"/>
      <c r="AI255" s="199"/>
      <c r="AJ255" s="199"/>
    </row>
  </sheetData>
  <mergeCells count="52">
    <mergeCell ref="A4:AJ4"/>
    <mergeCell ref="AN13:AR13"/>
    <mergeCell ref="AN12:AR12"/>
    <mergeCell ref="AC9:AC11"/>
    <mergeCell ref="AB12:AB13"/>
    <mergeCell ref="AI9:AI11"/>
    <mergeCell ref="AD9:AH11"/>
    <mergeCell ref="A5:AJ5"/>
    <mergeCell ref="A8:AJ8"/>
    <mergeCell ref="A9:AA10"/>
    <mergeCell ref="AB9:AB11"/>
    <mergeCell ref="AJ9:AJ11"/>
    <mergeCell ref="Q11:AA11"/>
    <mergeCell ref="AM3:AS3"/>
    <mergeCell ref="A1:AJ1"/>
    <mergeCell ref="AM1:AS1"/>
    <mergeCell ref="BA1:BE1"/>
    <mergeCell ref="A2:AJ2"/>
    <mergeCell ref="AM2:AS2"/>
    <mergeCell ref="A3:AJ3"/>
    <mergeCell ref="BB9:BC9"/>
    <mergeCell ref="BA10:BD10"/>
    <mergeCell ref="A11:A19"/>
    <mergeCell ref="B11:B19"/>
    <mergeCell ref="C11:C19"/>
    <mergeCell ref="D11:D19"/>
    <mergeCell ref="F11:P11"/>
    <mergeCell ref="AC12:AC13"/>
    <mergeCell ref="AI12:AI13"/>
    <mergeCell ref="AJ12:AJ13"/>
    <mergeCell ref="AM18:BE18"/>
    <mergeCell ref="AN19:AO19"/>
    <mergeCell ref="AP19:AS19"/>
    <mergeCell ref="AW19:BB19"/>
    <mergeCell ref="BC19:BE19"/>
    <mergeCell ref="AN14:AR14"/>
    <mergeCell ref="AN20:AO20"/>
    <mergeCell ref="AP20:AS20"/>
    <mergeCell ref="AW20:BB20"/>
    <mergeCell ref="BC20:BE20"/>
    <mergeCell ref="AN21:AO21"/>
    <mergeCell ref="AP21:AS21"/>
    <mergeCell ref="AW21:BB21"/>
    <mergeCell ref="BC21:BE21"/>
    <mergeCell ref="AN22:AO22"/>
    <mergeCell ref="AP22:AS22"/>
    <mergeCell ref="AW22:BB22"/>
    <mergeCell ref="BC22:BE22"/>
    <mergeCell ref="AN23:AO23"/>
    <mergeCell ref="AP23:AS23"/>
    <mergeCell ref="AW23:BB23"/>
    <mergeCell ref="BC23:BE23"/>
  </mergeCells>
  <phoneticPr fontId="8" type="noConversion"/>
  <conditionalFormatting sqref="Q11">
    <cfRule type="cellIs" dxfId="0" priority="2" operator="lessThan">
      <formula>2</formula>
    </cfRule>
  </conditionalFormatting>
  <pageMargins left="0.7" right="0.7" top="0.75" bottom="0.75" header="0.3" footer="0.3"/>
  <pageSetup paperSize="9" orientation="portrait"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60"/>
  <sheetViews>
    <sheetView tabSelected="1" zoomScaleNormal="100" workbookViewId="0">
      <selection activeCell="E31" sqref="E31"/>
    </sheetView>
  </sheetViews>
  <sheetFormatPr defaultColWidth="9.109375" defaultRowHeight="15.6" x14ac:dyDescent="0.3"/>
  <cols>
    <col min="1" max="6" width="9.33203125" style="79" bestFit="1" customWidth="1"/>
    <col min="7" max="7" width="10.33203125" style="79" bestFit="1" customWidth="1"/>
    <col min="8" max="9" width="9.33203125" style="79" bestFit="1" customWidth="1"/>
    <col min="10" max="10" width="10.33203125" style="79" bestFit="1" customWidth="1"/>
    <col min="11" max="11" width="9.109375" style="79"/>
    <col min="12" max="12" width="9.33203125" style="79" bestFit="1" customWidth="1"/>
    <col min="13" max="20" width="9.109375" style="79" customWidth="1"/>
    <col min="21" max="21" width="10.109375" style="79" customWidth="1"/>
    <col min="22" max="22" width="9.33203125" style="79" bestFit="1" customWidth="1"/>
    <col min="23" max="16384" width="9.109375" style="79"/>
  </cols>
  <sheetData>
    <row r="1" spans="1:32" x14ac:dyDescent="0.3">
      <c r="A1" s="234" t="s">
        <v>5</v>
      </c>
      <c r="B1" s="235" t="s">
        <v>337</v>
      </c>
      <c r="C1" s="235"/>
      <c r="D1" s="234" t="s">
        <v>32</v>
      </c>
      <c r="E1" s="235"/>
      <c r="F1" s="440" t="s">
        <v>335</v>
      </c>
      <c r="G1" s="440" t="s">
        <v>349</v>
      </c>
      <c r="H1" s="236" t="s">
        <v>33</v>
      </c>
      <c r="I1" s="234" t="s">
        <v>377</v>
      </c>
      <c r="J1" s="237"/>
    </row>
    <row r="2" spans="1:32" x14ac:dyDescent="0.3">
      <c r="A2" s="238" t="s">
        <v>6</v>
      </c>
      <c r="B2" s="235"/>
      <c r="C2" s="235">
        <v>22224</v>
      </c>
      <c r="D2" s="234" t="s">
        <v>27</v>
      </c>
      <c r="E2" s="440" t="s">
        <v>376</v>
      </c>
      <c r="F2" s="235"/>
      <c r="G2" s="235"/>
      <c r="H2" s="234"/>
      <c r="I2" s="234"/>
      <c r="J2" s="239"/>
    </row>
    <row r="3" spans="1:32" x14ac:dyDescent="0.3">
      <c r="A3" s="804" t="s">
        <v>9</v>
      </c>
      <c r="B3" s="804"/>
      <c r="C3" s="804"/>
      <c r="D3" s="804"/>
      <c r="E3" s="804"/>
      <c r="F3" s="804"/>
      <c r="G3" s="804"/>
      <c r="H3" s="804"/>
      <c r="I3" s="804"/>
      <c r="J3" s="804"/>
    </row>
    <row r="4" spans="1:32" x14ac:dyDescent="0.3">
      <c r="A4" s="166"/>
      <c r="B4" s="166"/>
      <c r="C4" s="166"/>
      <c r="D4" s="166"/>
      <c r="E4" s="166"/>
      <c r="F4" s="166"/>
      <c r="G4" s="166"/>
      <c r="H4" s="166"/>
      <c r="I4" s="166"/>
      <c r="J4" s="166"/>
    </row>
    <row r="5" spans="1:32" x14ac:dyDescent="0.3">
      <c r="A5" s="240" t="s">
        <v>0</v>
      </c>
      <c r="B5" s="815" t="s">
        <v>7</v>
      </c>
      <c r="C5" s="816"/>
      <c r="D5" s="816"/>
      <c r="E5" s="816"/>
      <c r="F5" s="816"/>
      <c r="G5" s="816"/>
      <c r="H5" s="817"/>
      <c r="I5" s="240" t="s">
        <v>8</v>
      </c>
      <c r="J5" s="241"/>
      <c r="L5" s="242" t="s">
        <v>243</v>
      </c>
      <c r="M5" s="242" t="s">
        <v>226</v>
      </c>
      <c r="N5" s="242" t="s">
        <v>227</v>
      </c>
      <c r="O5" s="242" t="s">
        <v>244</v>
      </c>
      <c r="P5" s="242" t="s">
        <v>245</v>
      </c>
      <c r="Q5" s="242" t="s">
        <v>230</v>
      </c>
      <c r="R5" s="242" t="s">
        <v>246</v>
      </c>
      <c r="S5" s="242" t="s">
        <v>311</v>
      </c>
      <c r="T5" s="242" t="s">
        <v>291</v>
      </c>
      <c r="U5" s="242" t="s">
        <v>312</v>
      </c>
      <c r="V5" s="242" t="s">
        <v>313</v>
      </c>
      <c r="W5" s="242"/>
    </row>
    <row r="6" spans="1:32" x14ac:dyDescent="0.3">
      <c r="A6" s="240"/>
      <c r="B6" s="243">
        <v>1</v>
      </c>
      <c r="C6" s="243">
        <v>2</v>
      </c>
      <c r="D6" s="243">
        <v>3</v>
      </c>
      <c r="E6" s="243">
        <v>4</v>
      </c>
      <c r="F6" s="243">
        <v>5</v>
      </c>
      <c r="G6" s="243">
        <v>6</v>
      </c>
      <c r="H6" s="243">
        <v>7</v>
      </c>
      <c r="I6" s="243">
        <v>1</v>
      </c>
      <c r="J6" s="243">
        <v>2</v>
      </c>
      <c r="L6" s="183">
        <v>22224.1</v>
      </c>
      <c r="M6" s="478">
        <v>3</v>
      </c>
      <c r="N6" s="478"/>
      <c r="O6" s="242">
        <v>3</v>
      </c>
      <c r="P6" s="242"/>
      <c r="Q6" s="242">
        <v>3</v>
      </c>
      <c r="R6" s="478">
        <v>3</v>
      </c>
      <c r="S6" s="478">
        <v>1.7999999999999998</v>
      </c>
      <c r="T6" s="242">
        <v>2</v>
      </c>
      <c r="U6" s="242">
        <v>0.8</v>
      </c>
      <c r="V6" s="244">
        <v>2.5999999999999996</v>
      </c>
      <c r="W6" s="242"/>
    </row>
    <row r="7" spans="1:32" x14ac:dyDescent="0.3">
      <c r="A7" s="183">
        <v>22224.1</v>
      </c>
      <c r="B7" s="467">
        <v>2</v>
      </c>
      <c r="C7" s="467">
        <v>2</v>
      </c>
      <c r="D7" s="467">
        <v>2</v>
      </c>
      <c r="E7" s="475">
        <v>2</v>
      </c>
      <c r="F7" s="475"/>
      <c r="G7" s="475">
        <v>2</v>
      </c>
      <c r="H7" s="475">
        <v>1</v>
      </c>
      <c r="I7" s="507">
        <v>1</v>
      </c>
      <c r="J7" s="246"/>
      <c r="L7" s="183">
        <v>22224.2</v>
      </c>
      <c r="M7" s="478"/>
      <c r="N7" s="478">
        <v>2.3333333333333335</v>
      </c>
      <c r="O7" s="242">
        <v>3</v>
      </c>
      <c r="P7" s="242"/>
      <c r="Q7" s="242">
        <v>3</v>
      </c>
      <c r="R7" s="478">
        <v>2.4666666666666668</v>
      </c>
      <c r="S7" s="478">
        <v>1.48</v>
      </c>
      <c r="T7" s="242">
        <v>2</v>
      </c>
      <c r="U7" s="242">
        <v>0.8</v>
      </c>
      <c r="V7" s="244">
        <v>2.2800000000000002</v>
      </c>
      <c r="W7" s="242"/>
    </row>
    <row r="8" spans="1:32" x14ac:dyDescent="0.3">
      <c r="A8" s="183">
        <v>22224.2</v>
      </c>
      <c r="B8" s="467">
        <v>1.6666666666666667</v>
      </c>
      <c r="C8" s="467">
        <v>1.6666666666666667</v>
      </c>
      <c r="D8" s="467"/>
      <c r="E8" s="475"/>
      <c r="F8" s="475">
        <v>1.6666666666666667</v>
      </c>
      <c r="G8" s="475"/>
      <c r="H8" s="475">
        <v>1</v>
      </c>
      <c r="I8" s="507">
        <v>1</v>
      </c>
      <c r="J8" s="246"/>
      <c r="L8" s="183">
        <v>22224.3</v>
      </c>
      <c r="M8" s="478"/>
      <c r="N8" s="478">
        <v>2.75</v>
      </c>
      <c r="O8" s="242">
        <v>3</v>
      </c>
      <c r="P8" s="242"/>
      <c r="Q8" s="242">
        <v>3</v>
      </c>
      <c r="R8" s="478">
        <v>2.8</v>
      </c>
      <c r="S8" s="478">
        <v>1.68</v>
      </c>
      <c r="T8" s="242">
        <v>2</v>
      </c>
      <c r="U8" s="242">
        <v>0.8</v>
      </c>
      <c r="V8" s="244">
        <v>2.48</v>
      </c>
      <c r="W8" s="242"/>
    </row>
    <row r="9" spans="1:32" x14ac:dyDescent="0.3">
      <c r="A9" s="183">
        <v>22224.3</v>
      </c>
      <c r="B9" s="467">
        <v>1.3333333333333333</v>
      </c>
      <c r="C9" s="467">
        <v>1.3333333333333333</v>
      </c>
      <c r="D9" s="467"/>
      <c r="E9" s="475"/>
      <c r="F9" s="475">
        <v>1.3333333333333333</v>
      </c>
      <c r="G9" s="475"/>
      <c r="H9" s="475">
        <v>1</v>
      </c>
      <c r="I9" s="507">
        <v>1</v>
      </c>
      <c r="J9" s="246"/>
      <c r="L9" s="183">
        <v>22224.400000000001</v>
      </c>
      <c r="M9" s="478"/>
      <c r="N9" s="478">
        <v>2.3333333333333335</v>
      </c>
      <c r="O9" s="242">
        <v>3</v>
      </c>
      <c r="P9" s="242"/>
      <c r="Q9" s="242">
        <v>3</v>
      </c>
      <c r="R9" s="478">
        <v>2.4666666666666668</v>
      </c>
      <c r="S9" s="478">
        <v>1.48</v>
      </c>
      <c r="T9" s="242">
        <v>2</v>
      </c>
      <c r="U9" s="242">
        <v>0.8</v>
      </c>
      <c r="V9" s="244">
        <v>2.2800000000000002</v>
      </c>
      <c r="W9" s="242"/>
    </row>
    <row r="10" spans="1:32" x14ac:dyDescent="0.3">
      <c r="A10" s="183">
        <v>22224.400000000001</v>
      </c>
      <c r="B10" s="467">
        <v>1.3333333333333333</v>
      </c>
      <c r="C10" s="467">
        <v>1.3333333333333333</v>
      </c>
      <c r="D10" s="467">
        <v>1.3333333333333333</v>
      </c>
      <c r="E10" s="475">
        <v>1.3333333333333333</v>
      </c>
      <c r="F10" s="475">
        <v>1.3333333333333333</v>
      </c>
      <c r="G10" s="475">
        <v>1.3333333333333333</v>
      </c>
      <c r="H10" s="475">
        <v>1</v>
      </c>
      <c r="I10" s="507">
        <v>1</v>
      </c>
      <c r="J10" s="246"/>
      <c r="L10" s="183">
        <v>22224.5</v>
      </c>
      <c r="M10" s="242">
        <v>2.5</v>
      </c>
      <c r="N10" s="242"/>
      <c r="O10" s="242">
        <v>3</v>
      </c>
      <c r="P10" s="242"/>
      <c r="Q10" s="242">
        <v>3</v>
      </c>
      <c r="R10" s="242">
        <v>2.5999999999999996</v>
      </c>
      <c r="S10" s="242">
        <v>1.5599999999999998</v>
      </c>
      <c r="T10" s="242">
        <v>2</v>
      </c>
      <c r="U10" s="242">
        <v>0.8</v>
      </c>
      <c r="V10" s="244">
        <v>2.36</v>
      </c>
      <c r="W10" s="242"/>
    </row>
    <row r="11" spans="1:32" x14ac:dyDescent="0.3">
      <c r="A11" s="183">
        <v>22224.5</v>
      </c>
      <c r="B11" s="467">
        <v>1.6666666666666667</v>
      </c>
      <c r="C11" s="467">
        <v>1.6666666666666667</v>
      </c>
      <c r="D11" s="467">
        <v>1.6666666666666667</v>
      </c>
      <c r="E11" s="476">
        <v>1.6666666666666667</v>
      </c>
      <c r="F11" s="476">
        <v>1.6666666666666667</v>
      </c>
      <c r="G11" s="476">
        <v>1.3333333333333333</v>
      </c>
      <c r="H11" s="476">
        <v>1</v>
      </c>
      <c r="I11" s="507">
        <v>1</v>
      </c>
      <c r="J11" s="246"/>
    </row>
    <row r="12" spans="1:32" x14ac:dyDescent="0.3">
      <c r="A12" s="245"/>
      <c r="B12" s="246"/>
      <c r="C12" s="246"/>
      <c r="D12" s="246"/>
      <c r="E12" s="246"/>
      <c r="F12" s="246"/>
      <c r="G12" s="246"/>
      <c r="H12" s="246"/>
      <c r="I12" s="246"/>
      <c r="J12" s="246"/>
    </row>
    <row r="13" spans="1:32" x14ac:dyDescent="0.3">
      <c r="A13" s="247"/>
      <c r="B13" s="477">
        <f>IF(SUM(B7:B11)=0,"-",AVERAGE(B7:B11))</f>
        <v>1.6</v>
      </c>
      <c r="C13" s="477">
        <f t="shared" ref="C13:I13" si="0">IF(SUM(C7:C11)=0,"-",AVERAGE(C7:C11))</f>
        <v>1.6</v>
      </c>
      <c r="D13" s="477">
        <f t="shared" si="0"/>
        <v>1.6666666666666667</v>
      </c>
      <c r="E13" s="477">
        <f t="shared" si="0"/>
        <v>1.6666666666666667</v>
      </c>
      <c r="F13" s="477">
        <f t="shared" si="0"/>
        <v>1.5</v>
      </c>
      <c r="G13" s="477">
        <f t="shared" si="0"/>
        <v>1.5555555555555554</v>
      </c>
      <c r="H13" s="477">
        <f t="shared" si="0"/>
        <v>1</v>
      </c>
      <c r="I13" s="477">
        <f t="shared" si="0"/>
        <v>1</v>
      </c>
      <c r="J13" s="477"/>
    </row>
    <row r="15" spans="1:32" x14ac:dyDescent="0.3">
      <c r="A15" s="809" t="s">
        <v>239</v>
      </c>
      <c r="B15" s="810"/>
      <c r="C15" s="810"/>
      <c r="D15" s="810"/>
      <c r="E15" s="810"/>
      <c r="F15" s="810"/>
      <c r="G15" s="810"/>
      <c r="H15" s="810"/>
      <c r="I15" s="810"/>
      <c r="J15" s="810"/>
      <c r="L15" s="261"/>
      <c r="M15" s="261"/>
      <c r="N15" s="261"/>
      <c r="O15" s="261"/>
      <c r="P15" s="261"/>
      <c r="Q15" s="261"/>
      <c r="R15" s="261"/>
      <c r="S15" s="261"/>
      <c r="T15" s="261"/>
      <c r="X15" s="602"/>
      <c r="Y15" s="602"/>
      <c r="Z15" s="602"/>
      <c r="AA15" s="602"/>
      <c r="AB15" s="602"/>
      <c r="AC15" s="602"/>
      <c r="AD15" s="602"/>
      <c r="AE15" s="602"/>
      <c r="AF15" s="602"/>
    </row>
    <row r="16" spans="1:32" x14ac:dyDescent="0.3">
      <c r="A16" s="248" t="s">
        <v>0</v>
      </c>
      <c r="B16" s="249" t="s">
        <v>35</v>
      </c>
      <c r="C16" s="249" t="s">
        <v>36</v>
      </c>
      <c r="D16" s="249" t="s">
        <v>37</v>
      </c>
      <c r="E16" s="249" t="s">
        <v>38</v>
      </c>
      <c r="F16" s="249" t="s">
        <v>39</v>
      </c>
      <c r="G16" s="249" t="s">
        <v>40</v>
      </c>
      <c r="H16" s="249" t="s">
        <v>41</v>
      </c>
      <c r="I16" s="488" t="s">
        <v>47</v>
      </c>
      <c r="J16" s="488" t="s">
        <v>48</v>
      </c>
      <c r="L16" s="261"/>
      <c r="M16" s="261"/>
      <c r="N16" s="261"/>
      <c r="O16" s="261"/>
      <c r="P16" s="261"/>
      <c r="Q16" s="261"/>
      <c r="R16" s="261"/>
      <c r="S16" s="261"/>
      <c r="T16" s="261"/>
      <c r="X16" s="602"/>
      <c r="Y16" s="602"/>
      <c r="Z16" s="805"/>
      <c r="AA16" s="805"/>
      <c r="AB16" s="805"/>
      <c r="AC16" s="805"/>
      <c r="AD16" s="805"/>
      <c r="AE16" s="805"/>
      <c r="AF16" s="805"/>
    </row>
    <row r="17" spans="1:32" x14ac:dyDescent="0.3">
      <c r="A17" s="183">
        <v>22224.1</v>
      </c>
      <c r="B17" s="479">
        <f>(B7*$V$6)/3</f>
        <v>1.7333333333333332</v>
      </c>
      <c r="C17" s="479">
        <f t="shared" ref="C17" si="1">(C7*$V$6)/3</f>
        <v>1.7333333333333332</v>
      </c>
      <c r="D17" s="479"/>
      <c r="E17" s="479">
        <f t="shared" ref="E17:I17" si="2">(E7*$V$6)/3</f>
        <v>1.7333333333333332</v>
      </c>
      <c r="F17" s="479"/>
      <c r="G17" s="479">
        <f t="shared" si="2"/>
        <v>1.7333333333333332</v>
      </c>
      <c r="H17" s="479">
        <f t="shared" si="2"/>
        <v>0.86666666666666659</v>
      </c>
      <c r="I17" s="479">
        <f t="shared" si="2"/>
        <v>0.86666666666666659</v>
      </c>
      <c r="J17" s="479"/>
      <c r="L17" s="261"/>
      <c r="M17" s="261"/>
      <c r="N17" s="261"/>
      <c r="O17" s="261"/>
      <c r="P17" s="261"/>
      <c r="Q17" s="261"/>
      <c r="R17" s="261"/>
      <c r="S17" s="261"/>
      <c r="T17" s="261"/>
      <c r="X17" s="602"/>
      <c r="Y17" s="602"/>
      <c r="Z17" s="805"/>
      <c r="AA17" s="805"/>
      <c r="AB17" s="805"/>
      <c r="AC17" s="805"/>
      <c r="AD17" s="805"/>
      <c r="AE17" s="805"/>
      <c r="AF17" s="805"/>
    </row>
    <row r="18" spans="1:32" x14ac:dyDescent="0.3">
      <c r="A18" s="183">
        <v>22224.2</v>
      </c>
      <c r="B18" s="479">
        <f>(B8*$V$7)/3</f>
        <v>1.2666666666666668</v>
      </c>
      <c r="C18" s="479">
        <f t="shared" ref="C18" si="3">(C8*$V$7)/3</f>
        <v>1.2666666666666668</v>
      </c>
      <c r="D18" s="479"/>
      <c r="E18" s="479"/>
      <c r="F18" s="479">
        <f t="shared" ref="F18:H18" si="4">(F8*$V$7)/3</f>
        <v>1.2666666666666668</v>
      </c>
      <c r="G18" s="479">
        <f t="shared" si="4"/>
        <v>0</v>
      </c>
      <c r="H18" s="479">
        <f t="shared" si="4"/>
        <v>0.76000000000000012</v>
      </c>
      <c r="I18" s="479">
        <f>(I8*$V$7)/3</f>
        <v>0.76000000000000012</v>
      </c>
      <c r="J18" s="479"/>
      <c r="L18" s="261"/>
      <c r="M18" s="261"/>
      <c r="N18" s="261"/>
      <c r="O18" s="261"/>
      <c r="P18" s="261"/>
      <c r="Q18" s="261"/>
      <c r="R18" s="261"/>
      <c r="S18" s="261"/>
      <c r="T18" s="261"/>
      <c r="X18" s="602"/>
      <c r="Y18" s="602"/>
      <c r="Z18" s="805"/>
      <c r="AA18" s="805"/>
      <c r="AB18" s="805"/>
      <c r="AC18" s="805"/>
      <c r="AD18" s="805"/>
      <c r="AE18" s="805"/>
      <c r="AF18" s="805"/>
    </row>
    <row r="19" spans="1:32" x14ac:dyDescent="0.3">
      <c r="A19" s="183">
        <v>22224.3</v>
      </c>
      <c r="B19" s="479">
        <f>(B9*$V$8)/3</f>
        <v>1.1022222222222222</v>
      </c>
      <c r="C19" s="479"/>
      <c r="D19" s="479"/>
      <c r="E19" s="479"/>
      <c r="F19" s="479"/>
      <c r="G19" s="479"/>
      <c r="H19" s="479">
        <f t="shared" ref="H19" si="5">(H9*$V$8)/3</f>
        <v>0.82666666666666666</v>
      </c>
      <c r="I19" s="479">
        <f>(I9*$V$8)/3</f>
        <v>0.82666666666666666</v>
      </c>
      <c r="J19" s="479"/>
      <c r="L19" s="261"/>
      <c r="M19" s="261"/>
      <c r="N19" s="261"/>
      <c r="O19" s="261"/>
      <c r="P19" s="261"/>
      <c r="Q19" s="261"/>
      <c r="R19" s="261"/>
      <c r="S19" s="261"/>
      <c r="T19" s="261"/>
      <c r="X19" s="602"/>
      <c r="Y19" s="602"/>
      <c r="Z19" s="805"/>
      <c r="AA19" s="805"/>
      <c r="AB19" s="805"/>
      <c r="AC19" s="805"/>
      <c r="AD19" s="805"/>
      <c r="AE19" s="805"/>
      <c r="AF19" s="805"/>
    </row>
    <row r="20" spans="1:32" x14ac:dyDescent="0.3">
      <c r="A20" s="183">
        <v>22224.400000000001</v>
      </c>
      <c r="B20" s="479">
        <f>(B10*$V$9)/3</f>
        <v>1.0133333333333334</v>
      </c>
      <c r="C20" s="479">
        <f t="shared" ref="C20:D20" si="6">(C10*$V$9)/3</f>
        <v>1.0133333333333334</v>
      </c>
      <c r="D20" s="479">
        <f t="shared" si="6"/>
        <v>1.0133333333333334</v>
      </c>
      <c r="E20" s="479">
        <f t="shared" ref="E20:H20" si="7">(E10*$V$9)/3</f>
        <v>1.0133333333333334</v>
      </c>
      <c r="F20" s="479"/>
      <c r="G20" s="479">
        <f t="shared" si="7"/>
        <v>1.0133333333333334</v>
      </c>
      <c r="H20" s="479">
        <f t="shared" si="7"/>
        <v>0.76000000000000012</v>
      </c>
      <c r="I20" s="479">
        <f>(I10*$V$9)/3</f>
        <v>0.76000000000000012</v>
      </c>
      <c r="J20" s="479"/>
      <c r="L20" s="261"/>
      <c r="M20" s="261"/>
      <c r="N20" s="261"/>
      <c r="O20" s="261"/>
      <c r="P20" s="261"/>
      <c r="Q20" s="261"/>
      <c r="R20" s="261"/>
      <c r="S20" s="261"/>
      <c r="T20" s="261"/>
    </row>
    <row r="21" spans="1:32" x14ac:dyDescent="0.3">
      <c r="A21" s="183">
        <v>22224.5</v>
      </c>
      <c r="B21" s="479">
        <f>(B11*$V$10)/3</f>
        <v>1.3111111111111111</v>
      </c>
      <c r="C21" s="479">
        <f t="shared" ref="C21:D21" si="8">(C11*$V$10)/3</f>
        <v>1.3111111111111111</v>
      </c>
      <c r="D21" s="479">
        <f t="shared" si="8"/>
        <v>1.3111111111111111</v>
      </c>
      <c r="E21" s="479">
        <f t="shared" ref="E21:H21" si="9">(E11*$V$10)/3</f>
        <v>1.3111111111111111</v>
      </c>
      <c r="F21" s="479">
        <f t="shared" si="9"/>
        <v>1.3111111111111111</v>
      </c>
      <c r="G21" s="479">
        <f t="shared" si="9"/>
        <v>1.0488888888888888</v>
      </c>
      <c r="H21" s="479">
        <f t="shared" si="9"/>
        <v>0.78666666666666663</v>
      </c>
      <c r="I21" s="479">
        <f>(I11*$V$10)/3</f>
        <v>0.78666666666666663</v>
      </c>
      <c r="J21" s="479"/>
    </row>
    <row r="22" spans="1:32" ht="46.8" x14ac:dyDescent="0.3">
      <c r="A22" s="250" t="s">
        <v>248</v>
      </c>
      <c r="B22" s="487">
        <f>AVERAGE(B17:B21)</f>
        <v>1.2853333333333334</v>
      </c>
      <c r="C22" s="487">
        <f t="shared" ref="C22:I22" si="10">AVERAGE(C17:C21)</f>
        <v>1.3311111111111111</v>
      </c>
      <c r="D22" s="487">
        <f t="shared" si="10"/>
        <v>1.1622222222222223</v>
      </c>
      <c r="E22" s="487">
        <f t="shared" si="10"/>
        <v>1.3525925925925926</v>
      </c>
      <c r="F22" s="487">
        <f t="shared" si="10"/>
        <v>1.288888888888889</v>
      </c>
      <c r="G22" s="487">
        <f t="shared" si="10"/>
        <v>0.94888888888888889</v>
      </c>
      <c r="H22" s="487">
        <f t="shared" si="10"/>
        <v>0.8</v>
      </c>
      <c r="I22" s="487">
        <f t="shared" si="10"/>
        <v>0.8</v>
      </c>
      <c r="J22" s="480"/>
    </row>
    <row r="23" spans="1:32" x14ac:dyDescent="0.3">
      <c r="A23" s="251"/>
      <c r="B23" s="252"/>
      <c r="C23" s="252"/>
      <c r="D23" s="253"/>
      <c r="E23" s="253"/>
    </row>
    <row r="24" spans="1:32" x14ac:dyDescent="0.3">
      <c r="A24" s="254" t="s">
        <v>34</v>
      </c>
      <c r="B24" s="255" t="s">
        <v>35</v>
      </c>
      <c r="C24" s="256" t="s">
        <v>36</v>
      </c>
      <c r="D24" s="257" t="s">
        <v>37</v>
      </c>
      <c r="E24" s="257" t="s">
        <v>38</v>
      </c>
      <c r="F24" s="257" t="s">
        <v>39</v>
      </c>
      <c r="G24" s="257" t="s">
        <v>40</v>
      </c>
      <c r="H24" s="257" t="s">
        <v>41</v>
      </c>
      <c r="I24" s="257" t="s">
        <v>47</v>
      </c>
      <c r="J24" s="256" t="s">
        <v>48</v>
      </c>
    </row>
    <row r="25" spans="1:32" x14ac:dyDescent="0.3">
      <c r="A25" s="258" t="s">
        <v>49</v>
      </c>
      <c r="B25" s="481">
        <f>B13</f>
        <v>1.6</v>
      </c>
      <c r="C25" s="481">
        <f t="shared" ref="C25:I25" si="11">C13</f>
        <v>1.6</v>
      </c>
      <c r="D25" s="481">
        <f t="shared" si="11"/>
        <v>1.6666666666666667</v>
      </c>
      <c r="E25" s="481">
        <f t="shared" si="11"/>
        <v>1.6666666666666667</v>
      </c>
      <c r="F25" s="481">
        <f t="shared" si="11"/>
        <v>1.5</v>
      </c>
      <c r="G25" s="481">
        <f t="shared" si="11"/>
        <v>1.5555555555555554</v>
      </c>
      <c r="H25" s="481">
        <f t="shared" si="11"/>
        <v>1</v>
      </c>
      <c r="I25" s="481">
        <f t="shared" si="11"/>
        <v>1</v>
      </c>
      <c r="J25" s="888"/>
    </row>
    <row r="26" spans="1:32" x14ac:dyDescent="0.3">
      <c r="A26" s="259" t="s">
        <v>50</v>
      </c>
      <c r="B26" s="482">
        <f>B22</f>
        <v>1.2853333333333334</v>
      </c>
      <c r="C26" s="482">
        <f t="shared" ref="C26:I26" si="12">C22</f>
        <v>1.3311111111111111</v>
      </c>
      <c r="D26" s="482">
        <f t="shared" si="12"/>
        <v>1.1622222222222223</v>
      </c>
      <c r="E26" s="482">
        <f t="shared" si="12"/>
        <v>1.3525925925925926</v>
      </c>
      <c r="F26" s="482">
        <f t="shared" si="12"/>
        <v>1.288888888888889</v>
      </c>
      <c r="G26" s="482">
        <f t="shared" si="12"/>
        <v>0.94888888888888889</v>
      </c>
      <c r="H26" s="482">
        <f t="shared" si="12"/>
        <v>0.8</v>
      </c>
      <c r="I26" s="482">
        <f t="shared" si="12"/>
        <v>0.8</v>
      </c>
      <c r="J26" s="887"/>
    </row>
    <row r="27" spans="1:32" x14ac:dyDescent="0.3">
      <c r="A27" s="260" t="s">
        <v>51</v>
      </c>
      <c r="B27" s="484">
        <f>(B26/B25)*100</f>
        <v>80.333333333333329</v>
      </c>
      <c r="C27" s="484">
        <f t="shared" ref="C27:I27" si="13">(C26/C25)*100</f>
        <v>83.194444444444443</v>
      </c>
      <c r="D27" s="484">
        <f t="shared" si="13"/>
        <v>69.733333333333334</v>
      </c>
      <c r="E27" s="484">
        <f t="shared" si="13"/>
        <v>81.155555555555551</v>
      </c>
      <c r="F27" s="484">
        <f t="shared" si="13"/>
        <v>85.925925925925924</v>
      </c>
      <c r="G27" s="484">
        <f t="shared" si="13"/>
        <v>61.000000000000007</v>
      </c>
      <c r="H27" s="484">
        <f t="shared" si="13"/>
        <v>80</v>
      </c>
      <c r="I27" s="484">
        <f t="shared" si="13"/>
        <v>80</v>
      </c>
      <c r="J27" s="484"/>
    </row>
    <row r="28" spans="1:32" x14ac:dyDescent="0.3">
      <c r="A28" s="527"/>
      <c r="B28" s="527"/>
      <c r="C28" s="527"/>
      <c r="D28" s="527"/>
      <c r="E28" s="527"/>
      <c r="F28" s="527"/>
      <c r="G28" s="527"/>
      <c r="H28" s="527"/>
      <c r="I28" s="527"/>
      <c r="J28" s="527"/>
    </row>
    <row r="29" spans="1:32" x14ac:dyDescent="0.3">
      <c r="A29" s="527"/>
      <c r="B29" s="527"/>
      <c r="C29" s="527"/>
      <c r="D29" s="527"/>
      <c r="E29" s="527"/>
      <c r="F29" s="527"/>
      <c r="G29" s="527"/>
      <c r="H29" s="527"/>
      <c r="I29" s="527"/>
      <c r="J29" s="527"/>
    </row>
    <row r="30" spans="1:32" x14ac:dyDescent="0.3">
      <c r="A30" s="527"/>
      <c r="B30" s="527"/>
      <c r="C30" s="527"/>
      <c r="D30" s="527"/>
      <c r="E30" s="527"/>
      <c r="F30" s="527"/>
      <c r="G30" s="527"/>
      <c r="H30" s="527"/>
      <c r="I30" s="527"/>
      <c r="J30" s="527"/>
    </row>
    <row r="31" spans="1:32" x14ac:dyDescent="0.3">
      <c r="A31" s="527"/>
      <c r="B31" s="527"/>
      <c r="C31" s="527"/>
      <c r="D31" s="527"/>
      <c r="E31" s="527"/>
      <c r="F31" s="527"/>
      <c r="G31" s="527"/>
      <c r="H31" s="527"/>
      <c r="I31" s="527"/>
      <c r="J31" s="527"/>
    </row>
    <row r="32" spans="1:32" x14ac:dyDescent="0.3">
      <c r="A32" s="527"/>
      <c r="B32" s="527"/>
      <c r="C32" s="527"/>
      <c r="D32" s="527"/>
      <c r="E32" s="527"/>
      <c r="F32" s="527"/>
      <c r="G32" s="527"/>
      <c r="H32" s="527"/>
      <c r="I32" s="527"/>
      <c r="J32" s="527"/>
    </row>
    <row r="33" spans="1:16" x14ac:dyDescent="0.3">
      <c r="A33" s="527"/>
      <c r="B33" s="527"/>
      <c r="C33" s="527"/>
      <c r="D33" s="527"/>
      <c r="E33" s="527"/>
      <c r="F33" s="527"/>
      <c r="G33" s="527"/>
      <c r="H33" s="527"/>
      <c r="I33" s="527"/>
      <c r="J33" s="527"/>
    </row>
    <row r="34" spans="1:16" x14ac:dyDescent="0.3">
      <c r="A34" s="527"/>
      <c r="B34" s="527"/>
      <c r="C34" s="527"/>
      <c r="D34" s="527"/>
      <c r="E34" s="527"/>
      <c r="F34" s="527"/>
      <c r="G34" s="527"/>
      <c r="H34" s="527"/>
      <c r="I34" s="527"/>
      <c r="J34" s="527"/>
    </row>
    <row r="35" spans="1:16" x14ac:dyDescent="0.3">
      <c r="A35" s="814" t="s">
        <v>52</v>
      </c>
      <c r="B35" s="814"/>
      <c r="C35" s="814"/>
      <c r="D35" s="814"/>
      <c r="E35" s="814"/>
      <c r="F35" s="814"/>
      <c r="G35" s="814"/>
      <c r="H35" s="814"/>
      <c r="I35" s="814"/>
      <c r="J35" s="527"/>
    </row>
    <row r="36" spans="1:16" x14ac:dyDescent="0.3">
      <c r="A36" s="818" t="s">
        <v>136</v>
      </c>
      <c r="B36" s="818"/>
      <c r="C36" s="819" t="s">
        <v>309</v>
      </c>
      <c r="D36" s="820"/>
      <c r="E36" s="820"/>
      <c r="F36" s="820"/>
      <c r="G36" s="820"/>
      <c r="H36" s="820"/>
      <c r="I36" s="821"/>
      <c r="J36" s="527"/>
    </row>
    <row r="37" spans="1:16" x14ac:dyDescent="0.3">
      <c r="A37" s="818" t="s">
        <v>53</v>
      </c>
      <c r="B37" s="818"/>
      <c r="C37" s="819" t="s">
        <v>310</v>
      </c>
      <c r="D37" s="820"/>
      <c r="E37" s="820"/>
      <c r="F37" s="820"/>
      <c r="G37" s="820"/>
      <c r="H37" s="820"/>
      <c r="I37" s="821"/>
      <c r="J37" s="527"/>
    </row>
    <row r="38" spans="1:16" x14ac:dyDescent="0.3">
      <c r="A38" s="818" t="s">
        <v>139</v>
      </c>
      <c r="B38" s="818"/>
      <c r="C38" s="819" t="s">
        <v>140</v>
      </c>
      <c r="D38" s="820"/>
      <c r="E38" s="820"/>
      <c r="F38" s="820"/>
      <c r="G38" s="820"/>
      <c r="H38" s="820"/>
      <c r="I38" s="821"/>
      <c r="J38" s="527"/>
    </row>
    <row r="39" spans="1:16" x14ac:dyDescent="0.3">
      <c r="A39" s="818" t="s">
        <v>141</v>
      </c>
      <c r="B39" s="818"/>
      <c r="C39" s="819" t="s">
        <v>142</v>
      </c>
      <c r="D39" s="820"/>
      <c r="E39" s="820"/>
      <c r="F39" s="820"/>
      <c r="G39" s="820"/>
      <c r="H39" s="820"/>
      <c r="I39" s="821"/>
      <c r="J39" s="527"/>
    </row>
    <row r="40" spans="1:16" x14ac:dyDescent="0.3">
      <c r="A40" s="527"/>
      <c r="B40" s="527"/>
      <c r="C40" s="527"/>
      <c r="D40" s="527"/>
      <c r="E40" s="527"/>
      <c r="F40" s="527"/>
      <c r="G40" s="527"/>
      <c r="H40" s="527"/>
      <c r="I40" s="527"/>
      <c r="J40" s="527"/>
    </row>
    <row r="41" spans="1:16" x14ac:dyDescent="0.3">
      <c r="A41" s="527"/>
      <c r="B41" s="527"/>
      <c r="C41" s="527"/>
      <c r="D41" s="527"/>
      <c r="E41" s="527"/>
      <c r="F41" s="527"/>
      <c r="G41" s="527"/>
      <c r="H41" s="527"/>
      <c r="I41" s="527"/>
      <c r="J41" s="527"/>
    </row>
    <row r="42" spans="1:16" x14ac:dyDescent="0.3">
      <c r="A42" s="527"/>
      <c r="B42" s="527"/>
      <c r="C42" s="527"/>
      <c r="D42" s="527"/>
      <c r="E42" s="527"/>
      <c r="F42" s="527"/>
      <c r="G42" s="527"/>
      <c r="H42" s="527"/>
      <c r="I42" s="527"/>
      <c r="J42" s="527"/>
    </row>
    <row r="43" spans="1:16" ht="16.2" thickBot="1" x14ac:dyDescent="0.35"/>
    <row r="44" spans="1:16" ht="16.8" thickTop="1" thickBot="1" x14ac:dyDescent="0.35">
      <c r="A44" s="823" t="s">
        <v>276</v>
      </c>
      <c r="B44" s="823"/>
      <c r="C44" s="823"/>
      <c r="D44" s="823"/>
      <c r="E44" s="823"/>
      <c r="F44" s="823"/>
      <c r="G44" s="823"/>
      <c r="H44" s="823"/>
      <c r="I44" s="823"/>
      <c r="J44" s="823"/>
      <c r="K44" s="530"/>
      <c r="L44" s="530"/>
      <c r="M44" s="530"/>
      <c r="N44" s="530"/>
      <c r="O44" s="530"/>
      <c r="P44" s="530"/>
    </row>
    <row r="45" spans="1:16" ht="39.9" customHeight="1" thickTop="1" thickBot="1" x14ac:dyDescent="0.35">
      <c r="A45" s="529" t="s">
        <v>7</v>
      </c>
      <c r="B45" s="806" t="s">
        <v>278</v>
      </c>
      <c r="C45" s="806"/>
      <c r="D45" s="807" t="s">
        <v>54</v>
      </c>
      <c r="E45" s="807"/>
      <c r="F45" s="807"/>
      <c r="G45" s="808"/>
      <c r="H45" s="824" t="s">
        <v>359</v>
      </c>
      <c r="I45" s="824"/>
      <c r="J45" s="824"/>
      <c r="K45" s="528"/>
      <c r="L45" s="528"/>
      <c r="M45" s="528"/>
      <c r="N45" s="528"/>
      <c r="O45" s="528"/>
      <c r="P45" s="528"/>
    </row>
    <row r="46" spans="1:16" ht="39.9" customHeight="1" thickTop="1" thickBot="1" x14ac:dyDescent="0.35">
      <c r="A46" s="262" t="s">
        <v>35</v>
      </c>
      <c r="B46" s="811">
        <f>B27</f>
        <v>80.333333333333329</v>
      </c>
      <c r="C46" s="811"/>
      <c r="D46" s="812" t="s">
        <v>136</v>
      </c>
      <c r="E46" s="812"/>
      <c r="F46" s="812"/>
      <c r="G46" s="813"/>
      <c r="H46" s="822" t="s">
        <v>367</v>
      </c>
      <c r="I46" s="822"/>
      <c r="J46" s="822"/>
      <c r="K46" s="528"/>
      <c r="L46" s="528"/>
      <c r="M46" s="528"/>
      <c r="N46" s="528"/>
      <c r="O46" s="528"/>
      <c r="P46" s="528"/>
    </row>
    <row r="47" spans="1:16" ht="48.75" customHeight="1" thickTop="1" thickBot="1" x14ac:dyDescent="0.35">
      <c r="A47" s="262" t="s">
        <v>36</v>
      </c>
      <c r="B47" s="811">
        <f>C27</f>
        <v>83.194444444444443</v>
      </c>
      <c r="C47" s="811"/>
      <c r="D47" s="812" t="s">
        <v>136</v>
      </c>
      <c r="E47" s="812"/>
      <c r="F47" s="812"/>
      <c r="G47" s="813"/>
      <c r="H47" s="822"/>
      <c r="I47" s="822"/>
      <c r="J47" s="822"/>
      <c r="K47" s="528"/>
      <c r="L47" s="528"/>
      <c r="M47" s="528"/>
      <c r="N47" s="528"/>
      <c r="O47" s="528"/>
      <c r="P47" s="528"/>
    </row>
    <row r="48" spans="1:16" ht="48.75" customHeight="1" thickTop="1" thickBot="1" x14ac:dyDescent="0.35">
      <c r="A48" s="262" t="s">
        <v>37</v>
      </c>
      <c r="B48" s="811">
        <f>D27</f>
        <v>69.733333333333334</v>
      </c>
      <c r="C48" s="811"/>
      <c r="D48" s="812" t="s">
        <v>53</v>
      </c>
      <c r="E48" s="812"/>
      <c r="F48" s="812"/>
      <c r="G48" s="813"/>
      <c r="H48" s="822"/>
      <c r="I48" s="822"/>
      <c r="J48" s="822"/>
      <c r="K48" s="528"/>
      <c r="L48" s="528"/>
      <c r="M48" s="528"/>
      <c r="N48" s="528"/>
      <c r="O48" s="528"/>
      <c r="P48" s="528"/>
    </row>
    <row r="49" spans="1:16" ht="48.75" customHeight="1" thickTop="1" thickBot="1" x14ac:dyDescent="0.35">
      <c r="A49" s="262" t="s">
        <v>38</v>
      </c>
      <c r="B49" s="811">
        <f>E27</f>
        <v>81.155555555555551</v>
      </c>
      <c r="C49" s="811"/>
      <c r="D49" s="812" t="s">
        <v>136</v>
      </c>
      <c r="E49" s="812"/>
      <c r="F49" s="812"/>
      <c r="G49" s="813"/>
      <c r="H49" s="822"/>
      <c r="I49" s="822"/>
      <c r="J49" s="822"/>
      <c r="K49" s="528"/>
      <c r="L49" s="528"/>
      <c r="M49" s="528"/>
      <c r="N49" s="528"/>
      <c r="O49" s="528"/>
      <c r="P49" s="528"/>
    </row>
    <row r="50" spans="1:16" ht="48.75" customHeight="1" thickTop="1" thickBot="1" x14ac:dyDescent="0.35">
      <c r="A50" s="262" t="s">
        <v>39</v>
      </c>
      <c r="B50" s="811">
        <f>F27</f>
        <v>85.925925925925924</v>
      </c>
      <c r="C50" s="811"/>
      <c r="D50" s="812" t="s">
        <v>136</v>
      </c>
      <c r="E50" s="812"/>
      <c r="F50" s="812"/>
      <c r="G50" s="813"/>
      <c r="H50" s="822"/>
      <c r="I50" s="822"/>
      <c r="J50" s="822"/>
      <c r="K50" s="528"/>
      <c r="L50" s="528"/>
      <c r="M50" s="528"/>
      <c r="N50" s="528"/>
      <c r="O50" s="528"/>
      <c r="P50" s="528"/>
    </row>
    <row r="51" spans="1:16" ht="48.75" customHeight="1" thickTop="1" thickBot="1" x14ac:dyDescent="0.35">
      <c r="A51" s="262" t="s">
        <v>40</v>
      </c>
      <c r="B51" s="811">
        <f>G27</f>
        <v>61.000000000000007</v>
      </c>
      <c r="C51" s="811"/>
      <c r="D51" s="812" t="s">
        <v>53</v>
      </c>
      <c r="E51" s="812"/>
      <c r="F51" s="812"/>
      <c r="G51" s="813"/>
      <c r="H51" s="822"/>
      <c r="I51" s="822"/>
      <c r="J51" s="822"/>
      <c r="K51" s="528"/>
      <c r="L51" s="528"/>
      <c r="M51" s="528"/>
      <c r="N51" s="528"/>
      <c r="O51" s="528"/>
      <c r="P51" s="528"/>
    </row>
    <row r="52" spans="1:16" ht="39.9" customHeight="1" thickTop="1" thickBot="1" x14ac:dyDescent="0.35">
      <c r="A52" s="262" t="s">
        <v>41</v>
      </c>
      <c r="B52" s="811">
        <f>H27</f>
        <v>80</v>
      </c>
      <c r="C52" s="811"/>
      <c r="D52" s="812" t="s">
        <v>53</v>
      </c>
      <c r="E52" s="812"/>
      <c r="F52" s="812"/>
      <c r="G52" s="813"/>
      <c r="H52" s="822"/>
      <c r="I52" s="822"/>
      <c r="J52" s="822"/>
      <c r="K52" s="528"/>
      <c r="L52" s="528"/>
      <c r="M52" s="528"/>
      <c r="N52" s="528"/>
      <c r="O52" s="528"/>
      <c r="P52" s="528"/>
    </row>
    <row r="53" spans="1:16" ht="39.9" customHeight="1" thickTop="1" thickBot="1" x14ac:dyDescent="0.35">
      <c r="A53" s="262" t="s">
        <v>47</v>
      </c>
      <c r="B53" s="825">
        <f>I27</f>
        <v>80</v>
      </c>
      <c r="C53" s="826"/>
      <c r="D53" s="812" t="s">
        <v>53</v>
      </c>
      <c r="E53" s="812"/>
      <c r="F53" s="812"/>
      <c r="G53" s="813"/>
      <c r="H53" s="822"/>
      <c r="I53" s="822"/>
      <c r="J53" s="822"/>
      <c r="K53" s="528"/>
      <c r="L53" s="528"/>
      <c r="M53" s="528"/>
      <c r="N53" s="528"/>
      <c r="O53" s="528"/>
      <c r="P53" s="528"/>
    </row>
    <row r="54" spans="1:16" ht="42" customHeight="1" thickTop="1" thickBot="1" x14ac:dyDescent="0.35">
      <c r="A54" s="262" t="s">
        <v>48</v>
      </c>
      <c r="B54" s="825"/>
      <c r="C54" s="825"/>
      <c r="D54" s="812"/>
      <c r="E54" s="812"/>
      <c r="F54" s="812"/>
      <c r="G54" s="813"/>
      <c r="H54" s="822"/>
      <c r="I54" s="822"/>
      <c r="J54" s="822"/>
      <c r="K54" s="528"/>
      <c r="L54" s="528"/>
      <c r="M54" s="528"/>
      <c r="N54" s="528"/>
      <c r="O54" s="528"/>
      <c r="P54" s="528"/>
    </row>
    <row r="55" spans="1:16" ht="16.2" thickTop="1" x14ac:dyDescent="0.3"/>
    <row r="60" spans="1:16" x14ac:dyDescent="0.3">
      <c r="D60" s="65"/>
      <c r="E60" s="1"/>
      <c r="F60" s="1"/>
      <c r="G60" s="65"/>
      <c r="H60" s="1"/>
      <c r="I60" s="1"/>
      <c r="J60" s="1"/>
      <c r="K60" s="65"/>
    </row>
  </sheetData>
  <mergeCells count="44">
    <mergeCell ref="H46:J54"/>
    <mergeCell ref="A44:J44"/>
    <mergeCell ref="A39:B39"/>
    <mergeCell ref="C39:I39"/>
    <mergeCell ref="H45:J45"/>
    <mergeCell ref="B54:C54"/>
    <mergeCell ref="D54:G54"/>
    <mergeCell ref="B53:C53"/>
    <mergeCell ref="B52:C52"/>
    <mergeCell ref="D52:G52"/>
    <mergeCell ref="D53:G53"/>
    <mergeCell ref="C36:I36"/>
    <mergeCell ref="A37:B37"/>
    <mergeCell ref="C37:I37"/>
    <mergeCell ref="A38:B38"/>
    <mergeCell ref="C38:I38"/>
    <mergeCell ref="B49:C49"/>
    <mergeCell ref="B50:C50"/>
    <mergeCell ref="B51:C51"/>
    <mergeCell ref="D49:G49"/>
    <mergeCell ref="D50:G50"/>
    <mergeCell ref="D51:G51"/>
    <mergeCell ref="B48:C48"/>
    <mergeCell ref="D48:G48"/>
    <mergeCell ref="B46:C46"/>
    <mergeCell ref="D46:G46"/>
    <mergeCell ref="B47:C47"/>
    <mergeCell ref="D47:G47"/>
    <mergeCell ref="A3:J3"/>
    <mergeCell ref="X15:AF15"/>
    <mergeCell ref="X16:Y16"/>
    <mergeCell ref="Z16:AF16"/>
    <mergeCell ref="B45:C45"/>
    <mergeCell ref="D45:G45"/>
    <mergeCell ref="X18:Y18"/>
    <mergeCell ref="Z18:AF18"/>
    <mergeCell ref="X19:Y19"/>
    <mergeCell ref="Z19:AF19"/>
    <mergeCell ref="X17:Y17"/>
    <mergeCell ref="Z17:AF17"/>
    <mergeCell ref="A15:J15"/>
    <mergeCell ref="A35:I35"/>
    <mergeCell ref="B5:H5"/>
    <mergeCell ref="A36:B36"/>
  </mergeCells>
  <phoneticPr fontId="8" type="noConversion"/>
  <pageMargins left="0.7" right="0.7" top="0.75" bottom="0.75" header="0.3" footer="0.3"/>
  <pageSetup paperSize="9" orientation="portrait"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5EF75-E590-4C9A-8407-DACB0B1CD04A}">
  <dimension ref="A1:N5"/>
  <sheetViews>
    <sheetView workbookViewId="0">
      <selection activeCell="Y19" sqref="Y19"/>
    </sheetView>
  </sheetViews>
  <sheetFormatPr defaultRowHeight="14.4" x14ac:dyDescent="0.3"/>
  <sheetData>
    <row r="1" spans="1:14" ht="14.4" customHeight="1" x14ac:dyDescent="0.3">
      <c r="A1" s="534" t="s">
        <v>812</v>
      </c>
      <c r="B1" s="534"/>
      <c r="C1" s="534"/>
      <c r="D1" s="534"/>
      <c r="E1" s="534"/>
      <c r="F1" s="534"/>
      <c r="G1" s="534"/>
      <c r="H1" s="534"/>
      <c r="I1" s="534"/>
      <c r="J1" s="526"/>
      <c r="K1" s="526"/>
      <c r="L1" s="526"/>
      <c r="M1" s="526"/>
      <c r="N1" s="526"/>
    </row>
    <row r="2" spans="1:14" ht="92.4" customHeight="1" x14ac:dyDescent="0.3">
      <c r="A2" s="534"/>
      <c r="B2" s="534"/>
      <c r="C2" s="534"/>
      <c r="D2" s="534"/>
      <c r="E2" s="534"/>
      <c r="F2" s="534"/>
      <c r="G2" s="534"/>
      <c r="H2" s="534"/>
      <c r="I2" s="534"/>
      <c r="J2" s="526"/>
      <c r="K2" s="526"/>
      <c r="L2" s="526"/>
      <c r="M2" s="526"/>
      <c r="N2" s="526"/>
    </row>
    <row r="3" spans="1:14" ht="58.2" customHeight="1" x14ac:dyDescent="0.3">
      <c r="A3" s="500"/>
      <c r="B3" s="500"/>
      <c r="C3" s="500"/>
      <c r="D3" s="500"/>
      <c r="E3" s="500"/>
      <c r="F3" s="500"/>
      <c r="G3" s="500"/>
      <c r="H3" s="500"/>
      <c r="I3" s="500"/>
      <c r="J3" s="500"/>
      <c r="K3" s="500"/>
      <c r="L3" s="500"/>
      <c r="M3" s="500"/>
      <c r="N3" s="500"/>
    </row>
    <row r="4" spans="1:14" ht="42" customHeight="1" x14ac:dyDescent="0.3">
      <c r="A4" s="535" t="s">
        <v>813</v>
      </c>
      <c r="B4" s="535"/>
      <c r="C4" s="510"/>
      <c r="D4" s="535" t="s">
        <v>814</v>
      </c>
      <c r="E4" s="535"/>
      <c r="F4" s="500"/>
      <c r="G4" s="531" t="s">
        <v>815</v>
      </c>
      <c r="H4" s="532"/>
      <c r="I4" s="533"/>
      <c r="J4" s="500"/>
      <c r="K4" s="525"/>
      <c r="L4" s="525"/>
      <c r="M4" s="500"/>
      <c r="N4" s="500"/>
    </row>
    <row r="5" spans="1:14" ht="36" customHeight="1" x14ac:dyDescent="0.3">
      <c r="A5" s="536">
        <f>COUNTA(CO_Attainment!D21:D227)</f>
        <v>207</v>
      </c>
      <c r="B5" s="536"/>
      <c r="C5" s="510"/>
      <c r="D5" s="536">
        <f>COUNTA(CO_Attainment!AD12:AH12)</f>
        <v>5</v>
      </c>
      <c r="E5" s="536"/>
      <c r="F5" s="500"/>
      <c r="G5" s="537">
        <f>AVERAGE(CO_Attainment!AW5:AW9)</f>
        <v>2.4</v>
      </c>
      <c r="H5" s="538"/>
      <c r="I5" s="539"/>
      <c r="J5" s="500"/>
      <c r="K5" s="500"/>
      <c r="L5" s="500"/>
      <c r="M5" s="500"/>
      <c r="N5" s="500"/>
    </row>
  </sheetData>
  <mergeCells count="7">
    <mergeCell ref="G4:I4"/>
    <mergeCell ref="A1:I2"/>
    <mergeCell ref="A4:B4"/>
    <mergeCell ref="A5:B5"/>
    <mergeCell ref="D4:E4"/>
    <mergeCell ref="D5:E5"/>
    <mergeCell ref="G5:I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topLeftCell="A19" zoomScale="115" zoomScaleNormal="115" workbookViewId="0">
      <selection activeCell="A10" sqref="A10"/>
    </sheetView>
  </sheetViews>
  <sheetFormatPr defaultRowHeight="14.4" x14ac:dyDescent="0.3"/>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65"/>
  <sheetViews>
    <sheetView topLeftCell="A10" zoomScale="40" zoomScaleNormal="40" workbookViewId="0">
      <selection activeCell="M14" sqref="M14"/>
    </sheetView>
  </sheetViews>
  <sheetFormatPr defaultColWidth="9.109375" defaultRowHeight="14.4" x14ac:dyDescent="0.3"/>
  <cols>
    <col min="1" max="1" width="18.5546875" style="1" customWidth="1"/>
    <col min="2" max="11" width="6.6640625" style="1" customWidth="1"/>
    <col min="12" max="12" width="8.88671875" style="1" customWidth="1"/>
    <col min="13" max="13" width="11.44140625" style="1" customWidth="1"/>
    <col min="14" max="15" width="6.6640625" style="1" customWidth="1"/>
    <col min="16" max="16" width="11.44140625" style="1" customWidth="1"/>
    <col min="17" max="17" width="11.88671875" style="1" customWidth="1"/>
    <col min="18" max="16384" width="9.109375" style="1"/>
  </cols>
  <sheetData>
    <row r="1" spans="1:19" ht="15.75" customHeight="1" x14ac:dyDescent="0.3">
      <c r="A1" s="830" t="str">
        <f>RAW!B2</f>
        <v>-</v>
      </c>
      <c r="B1" s="830"/>
      <c r="C1" s="830"/>
      <c r="D1" s="830"/>
      <c r="E1" s="830"/>
      <c r="F1" s="830"/>
      <c r="G1" s="830"/>
      <c r="H1" s="650"/>
      <c r="I1" s="650"/>
      <c r="J1" s="650"/>
      <c r="K1" s="650"/>
      <c r="L1" s="650"/>
    </row>
    <row r="2" spans="1:19" s="4" customFormat="1" x14ac:dyDescent="0.3">
      <c r="A2" s="3" t="s">
        <v>111</v>
      </c>
      <c r="B2" s="839" t="s">
        <v>187</v>
      </c>
      <c r="C2" s="840"/>
      <c r="D2" s="841"/>
      <c r="E2" s="836" t="s">
        <v>188</v>
      </c>
      <c r="F2" s="836"/>
      <c r="G2" s="836"/>
      <c r="I2" s="836" t="s">
        <v>12</v>
      </c>
      <c r="J2" s="836"/>
      <c r="K2" s="836"/>
      <c r="L2" s="836"/>
      <c r="M2" s="836"/>
      <c r="N2" s="836"/>
      <c r="O2" s="1"/>
      <c r="P2" s="1"/>
    </row>
    <row r="3" spans="1:19" s="4" customFormat="1" x14ac:dyDescent="0.3">
      <c r="A3" s="3"/>
      <c r="B3" s="3" t="str">
        <f>RAW!B4</f>
        <v>C403.1</v>
      </c>
      <c r="C3" s="3" t="str">
        <f>RAW!C4</f>
        <v>C403.2</v>
      </c>
      <c r="D3" s="3" t="str">
        <f>RAW!D4</f>
        <v>C403.3</v>
      </c>
      <c r="E3" s="3" t="str">
        <f>RAW!E4</f>
        <v>C403.4</v>
      </c>
      <c r="F3" s="3" t="str">
        <f>RAW!F4</f>
        <v>C403.5</v>
      </c>
      <c r="G3" s="3" t="str">
        <f>RAW!G4</f>
        <v>C403.6</v>
      </c>
      <c r="H3" s="1"/>
      <c r="I3" s="3" t="e">
        <f>RAW!H4</f>
        <v>#REF!</v>
      </c>
      <c r="J3" s="3" t="str">
        <f>RAW!I4</f>
        <v>C403.2</v>
      </c>
      <c r="K3" s="3" t="str">
        <f>RAW!J4</f>
        <v>C403.3</v>
      </c>
      <c r="L3" s="3" t="str">
        <f>RAW!K4</f>
        <v>C403.4</v>
      </c>
      <c r="M3" s="3" t="str">
        <f>RAW!L4</f>
        <v>C403.5</v>
      </c>
      <c r="N3" s="3" t="str">
        <f>RAW!M4</f>
        <v>C403.6</v>
      </c>
      <c r="O3" s="1"/>
      <c r="P3" s="1"/>
    </row>
    <row r="4" spans="1:19" s="5" customFormat="1" x14ac:dyDescent="0.3">
      <c r="A4" s="3" t="s">
        <v>21</v>
      </c>
      <c r="B4" s="3">
        <f>RAW!B12</f>
        <v>0</v>
      </c>
      <c r="C4" s="3">
        <f>RAW!C12</f>
        <v>1</v>
      </c>
      <c r="D4" s="3">
        <f>RAW!D12</f>
        <v>3</v>
      </c>
      <c r="E4" s="3">
        <f>RAW!E12</f>
        <v>3</v>
      </c>
      <c r="F4" s="3">
        <f>RAW!F12</f>
        <v>3</v>
      </c>
      <c r="G4" s="3">
        <f>RAW!G12</f>
        <v>1</v>
      </c>
      <c r="H4" s="1"/>
      <c r="I4" s="3">
        <f>RAW!H12</f>
        <v>3</v>
      </c>
      <c r="J4" s="3">
        <f>RAW!I12</f>
        <v>3</v>
      </c>
      <c r="K4" s="3">
        <f>RAW!J12</f>
        <v>3</v>
      </c>
      <c r="L4" s="3">
        <f>RAW!K12</f>
        <v>3</v>
      </c>
      <c r="M4" s="3">
        <f>RAW!L12</f>
        <v>3</v>
      </c>
      <c r="N4" s="3">
        <f>RAW!M12</f>
        <v>3</v>
      </c>
      <c r="O4" s="1"/>
      <c r="P4" s="1"/>
    </row>
    <row r="6" spans="1:19" x14ac:dyDescent="0.3">
      <c r="A6" s="4"/>
      <c r="B6" s="4"/>
      <c r="C6" s="4"/>
      <c r="D6" s="4"/>
      <c r="F6" s="4"/>
      <c r="G6" s="4"/>
      <c r="H6" s="4"/>
      <c r="I6" s="4"/>
      <c r="J6" s="3" t="s">
        <v>31</v>
      </c>
      <c r="L6" s="3" t="s">
        <v>14</v>
      </c>
      <c r="M6" s="76"/>
    </row>
    <row r="7" spans="1:19" ht="53.25" customHeight="1" x14ac:dyDescent="0.3">
      <c r="A7" s="4"/>
      <c r="B7" s="835"/>
      <c r="C7" s="835"/>
      <c r="D7" s="835"/>
      <c r="F7" s="4"/>
      <c r="G7" s="4"/>
      <c r="H7" s="4"/>
      <c r="I7" s="4"/>
      <c r="J7" s="3" t="s">
        <v>19</v>
      </c>
      <c r="L7" s="33" t="str">
        <f>RAW!N4</f>
        <v xml:space="preserve">ALL CO </v>
      </c>
      <c r="M7" s="4"/>
    </row>
    <row r="8" spans="1:19" x14ac:dyDescent="0.3">
      <c r="A8" s="4"/>
      <c r="B8" s="4"/>
      <c r="C8" s="4"/>
      <c r="D8" s="4"/>
      <c r="F8" s="4"/>
      <c r="G8" s="4"/>
      <c r="H8" s="4"/>
      <c r="I8" s="4"/>
      <c r="J8" s="3">
        <f>RAW!O12</f>
        <v>3</v>
      </c>
      <c r="L8" s="3">
        <f>RAW!N12</f>
        <v>1</v>
      </c>
      <c r="M8" s="4"/>
    </row>
    <row r="11" spans="1:19" ht="15" customHeight="1" x14ac:dyDescent="0.3">
      <c r="A11" s="832" t="s">
        <v>0</v>
      </c>
      <c r="B11" s="831" t="s">
        <v>207</v>
      </c>
      <c r="C11" s="831"/>
      <c r="D11" s="831"/>
      <c r="E11" s="831"/>
      <c r="F11" s="831"/>
      <c r="G11" s="831"/>
      <c r="H11" s="831"/>
      <c r="I11" s="831"/>
      <c r="J11" s="831"/>
      <c r="K11" s="831"/>
      <c r="L11" s="831"/>
      <c r="M11" s="837" t="s">
        <v>237</v>
      </c>
      <c r="N11" s="158" t="s">
        <v>208</v>
      </c>
      <c r="O11" s="159"/>
      <c r="P11" s="160" t="s">
        <v>109</v>
      </c>
      <c r="Q11" s="828" t="s">
        <v>110</v>
      </c>
    </row>
    <row r="12" spans="1:19" ht="36.75" customHeight="1" thickBot="1" x14ac:dyDescent="0.35">
      <c r="A12" s="832"/>
      <c r="B12" s="161" t="s">
        <v>226</v>
      </c>
      <c r="C12" s="161" t="s">
        <v>227</v>
      </c>
      <c r="D12" s="161"/>
      <c r="E12" s="161"/>
      <c r="F12" s="161"/>
      <c r="G12" s="161"/>
      <c r="H12" s="161"/>
      <c r="I12" s="161"/>
      <c r="J12" s="161" t="s">
        <v>229</v>
      </c>
      <c r="K12" s="161" t="s">
        <v>31</v>
      </c>
      <c r="L12" s="161" t="s">
        <v>230</v>
      </c>
      <c r="M12" s="838"/>
      <c r="N12" s="160" t="s">
        <v>232</v>
      </c>
      <c r="O12" s="160" t="s">
        <v>231</v>
      </c>
      <c r="P12" s="160"/>
      <c r="Q12" s="829"/>
    </row>
    <row r="13" spans="1:19" ht="15" thickBot="1" x14ac:dyDescent="0.35">
      <c r="A13" s="150" t="s">
        <v>108</v>
      </c>
      <c r="B13" s="151">
        <v>0.15</v>
      </c>
      <c r="C13" s="151">
        <v>0.15</v>
      </c>
      <c r="D13" s="152"/>
      <c r="E13" s="152"/>
      <c r="F13" s="152"/>
      <c r="G13" s="152"/>
      <c r="H13" s="152"/>
      <c r="I13" s="152"/>
      <c r="J13" s="153">
        <v>0.1</v>
      </c>
      <c r="K13" s="153">
        <v>0.15</v>
      </c>
      <c r="L13" s="154">
        <v>0.05</v>
      </c>
      <c r="M13" s="155">
        <f>SUM(B13:L13)</f>
        <v>0.60000000000000009</v>
      </c>
      <c r="N13" s="156">
        <v>0.4</v>
      </c>
      <c r="O13" s="157"/>
      <c r="P13" s="155">
        <f>SUM(N13:O13)</f>
        <v>0.4</v>
      </c>
      <c r="Q13" s="162">
        <f>M13+P13</f>
        <v>1</v>
      </c>
    </row>
    <row r="14" spans="1:19" x14ac:dyDescent="0.3">
      <c r="A14" s="62" t="str">
        <f>CO_PO_Mapping!U8</f>
        <v>C403.1</v>
      </c>
      <c r="B14" s="67">
        <f>B4</f>
        <v>0</v>
      </c>
      <c r="C14" s="67"/>
      <c r="D14" s="67"/>
      <c r="E14" s="67"/>
      <c r="F14" s="67"/>
      <c r="G14" s="67"/>
      <c r="H14" s="67"/>
      <c r="I14" s="67"/>
      <c r="J14" s="67"/>
      <c r="K14" s="67">
        <f>J8</f>
        <v>3</v>
      </c>
      <c r="L14" s="72">
        <f>I4</f>
        <v>3</v>
      </c>
      <c r="M14" s="77">
        <f>((AVERAGE(B14*$B$13))+(K14*$K$13)+(L14*$L$13))</f>
        <v>0.6</v>
      </c>
      <c r="N14" s="71">
        <f>L8</f>
        <v>1</v>
      </c>
      <c r="O14" s="67"/>
      <c r="P14" s="69">
        <f>(N14*$N$13)+(O14*O13)</f>
        <v>0.4</v>
      </c>
      <c r="Q14" s="69">
        <f>M14+P14</f>
        <v>1</v>
      </c>
      <c r="R14" s="66"/>
      <c r="S14" s="66"/>
    </row>
    <row r="15" spans="1:19" x14ac:dyDescent="0.3">
      <c r="A15" s="62" t="str">
        <f>CO_PO_Mapping!U9</f>
        <v>C403.2</v>
      </c>
      <c r="B15" s="67">
        <f>C4</f>
        <v>1</v>
      </c>
      <c r="C15" s="59"/>
      <c r="D15" s="59"/>
      <c r="E15" s="59"/>
      <c r="F15" s="59"/>
      <c r="G15" s="59"/>
      <c r="H15" s="59"/>
      <c r="I15" s="59"/>
      <c r="J15" s="59"/>
      <c r="K15" s="59">
        <f>J8</f>
        <v>3</v>
      </c>
      <c r="L15" s="73">
        <f>J4</f>
        <v>3</v>
      </c>
      <c r="M15" s="77">
        <f t="shared" ref="M15:M16" si="0">((AVERAGE(B15*$B$13))+(K15*$K$13)+(L15*$L$13))</f>
        <v>0.75</v>
      </c>
      <c r="N15" s="68">
        <v>1</v>
      </c>
      <c r="O15" s="59"/>
      <c r="P15" s="69">
        <f t="shared" ref="P15:P19" si="1">(N15*$N$13)+(O15*O14)</f>
        <v>0.4</v>
      </c>
      <c r="Q15" s="69">
        <f t="shared" ref="Q15:Q19" si="2">M15+P15</f>
        <v>1.1499999999999999</v>
      </c>
      <c r="R15" s="66"/>
      <c r="S15" s="66"/>
    </row>
    <row r="16" spans="1:19" x14ac:dyDescent="0.3">
      <c r="A16" s="62" t="str">
        <f>CO_PO_Mapping!U10</f>
        <v>C403.3</v>
      </c>
      <c r="B16" s="67">
        <f>D4</f>
        <v>3</v>
      </c>
      <c r="C16" s="59"/>
      <c r="D16" s="59"/>
      <c r="E16" s="59"/>
      <c r="F16" s="59"/>
      <c r="G16" s="59"/>
      <c r="H16" s="59"/>
      <c r="I16" s="59"/>
      <c r="J16" s="59"/>
      <c r="K16" s="59">
        <f>J8</f>
        <v>3</v>
      </c>
      <c r="L16" s="73">
        <f>K4</f>
        <v>3</v>
      </c>
      <c r="M16" s="77">
        <f t="shared" si="0"/>
        <v>1.0499999999999998</v>
      </c>
      <c r="N16" s="68">
        <v>1</v>
      </c>
      <c r="O16" s="59"/>
      <c r="P16" s="69">
        <f t="shared" si="1"/>
        <v>0.4</v>
      </c>
      <c r="Q16" s="69">
        <f t="shared" si="2"/>
        <v>1.4499999999999997</v>
      </c>
      <c r="R16" s="66"/>
      <c r="S16" s="66"/>
    </row>
    <row r="17" spans="1:32" ht="15" customHeight="1" x14ac:dyDescent="0.3">
      <c r="A17" s="62" t="str">
        <f>CO_PO_Mapping!U11</f>
        <v>C403.4</v>
      </c>
      <c r="B17" s="67"/>
      <c r="C17" s="59">
        <f>E4</f>
        <v>3</v>
      </c>
      <c r="D17" s="59"/>
      <c r="E17" s="59"/>
      <c r="F17" s="59"/>
      <c r="G17" s="59"/>
      <c r="H17" s="59"/>
      <c r="I17" s="59"/>
      <c r="J17" s="59"/>
      <c r="K17" s="59">
        <f>J8</f>
        <v>3</v>
      </c>
      <c r="L17" s="73">
        <f>L4</f>
        <v>3</v>
      </c>
      <c r="M17" s="77">
        <f>((AVERAGE(C17*$C$13))+(K17*$K$13)+(L17*$L$13))</f>
        <v>1.0499999999999998</v>
      </c>
      <c r="N17" s="68">
        <v>1</v>
      </c>
      <c r="O17" s="59"/>
      <c r="P17" s="69">
        <f t="shared" si="1"/>
        <v>0.4</v>
      </c>
      <c r="Q17" s="69">
        <f t="shared" si="2"/>
        <v>1.4499999999999997</v>
      </c>
      <c r="R17" s="66"/>
      <c r="S17" s="66"/>
    </row>
    <row r="18" spans="1:32" x14ac:dyDescent="0.3">
      <c r="A18" s="62" t="str">
        <f>CO_PO_Mapping!U12</f>
        <v>C403.5</v>
      </c>
      <c r="B18" s="67"/>
      <c r="C18" s="59">
        <f>F4</f>
        <v>3</v>
      </c>
      <c r="D18" s="59"/>
      <c r="E18" s="59"/>
      <c r="F18" s="59"/>
      <c r="G18" s="59"/>
      <c r="H18" s="59"/>
      <c r="I18" s="59"/>
      <c r="J18" s="59"/>
      <c r="K18" s="59">
        <f>J8</f>
        <v>3</v>
      </c>
      <c r="L18" s="73">
        <f>M4</f>
        <v>3</v>
      </c>
      <c r="M18" s="77">
        <f t="shared" ref="M18:M19" si="3">((AVERAGE(C18*$C$13))+(K18*$K$13)+(L18*$L$13))</f>
        <v>1.0499999999999998</v>
      </c>
      <c r="N18" s="68">
        <v>1</v>
      </c>
      <c r="O18" s="59"/>
      <c r="P18" s="69">
        <f t="shared" si="1"/>
        <v>0.4</v>
      </c>
      <c r="Q18" s="69">
        <f t="shared" si="2"/>
        <v>1.4499999999999997</v>
      </c>
      <c r="R18" s="66"/>
      <c r="S18" s="66"/>
    </row>
    <row r="19" spans="1:32" x14ac:dyDescent="0.3">
      <c r="A19" s="62" t="str">
        <f>CO_PO_Mapping!U13</f>
        <v>C403.6</v>
      </c>
      <c r="B19" s="67"/>
      <c r="C19" s="59">
        <f>G4</f>
        <v>1</v>
      </c>
      <c r="D19" s="103"/>
      <c r="E19" s="103"/>
      <c r="F19" s="103"/>
      <c r="G19" s="103"/>
      <c r="H19" s="103"/>
      <c r="I19" s="103"/>
      <c r="J19" s="103"/>
      <c r="K19" s="59">
        <f>J8</f>
        <v>3</v>
      </c>
      <c r="L19" s="104">
        <f>N4</f>
        <v>3</v>
      </c>
      <c r="M19" s="77">
        <f t="shared" si="3"/>
        <v>0.75</v>
      </c>
      <c r="N19" s="68">
        <v>1</v>
      </c>
      <c r="O19" s="103"/>
      <c r="P19" s="69">
        <f t="shared" si="1"/>
        <v>0.4</v>
      </c>
      <c r="Q19" s="69">
        <f t="shared" si="2"/>
        <v>1.1499999999999999</v>
      </c>
    </row>
    <row r="21" spans="1:32" ht="15.6" x14ac:dyDescent="0.3">
      <c r="A21" s="827" t="s">
        <v>28</v>
      </c>
      <c r="B21" s="827"/>
      <c r="C21" s="827"/>
      <c r="D21" s="827"/>
      <c r="E21" s="827"/>
      <c r="F21" s="827"/>
      <c r="G21" s="827"/>
      <c r="H21" s="827"/>
      <c r="I21" s="827"/>
      <c r="J21" s="827"/>
      <c r="K21" s="827"/>
      <c r="L21" s="827"/>
      <c r="M21" s="827"/>
      <c r="N21" s="827"/>
      <c r="O21" s="827"/>
    </row>
    <row r="22" spans="1:32" ht="15.6" x14ac:dyDescent="0.3">
      <c r="A22" s="833" t="s">
        <v>0</v>
      </c>
      <c r="B22" s="827" t="s">
        <v>7</v>
      </c>
      <c r="C22" s="827"/>
      <c r="D22" s="827"/>
      <c r="E22" s="827"/>
      <c r="F22" s="827"/>
      <c r="G22" s="827"/>
      <c r="H22" s="827"/>
      <c r="I22" s="827"/>
      <c r="J22" s="827"/>
      <c r="K22" s="827"/>
      <c r="L22" s="827"/>
      <c r="M22" s="827"/>
      <c r="N22" s="827" t="s">
        <v>8</v>
      </c>
      <c r="O22" s="827"/>
    </row>
    <row r="23" spans="1:32" ht="15.75" customHeight="1" x14ac:dyDescent="0.3">
      <c r="A23" s="834"/>
      <c r="B23" s="6">
        <v>1</v>
      </c>
      <c r="C23" s="6">
        <v>2</v>
      </c>
      <c r="D23" s="6">
        <v>3</v>
      </c>
      <c r="E23" s="6">
        <v>4</v>
      </c>
      <c r="F23" s="6">
        <v>5</v>
      </c>
      <c r="G23" s="6">
        <v>6</v>
      </c>
      <c r="H23" s="6">
        <v>7</v>
      </c>
      <c r="I23" s="6">
        <v>8</v>
      </c>
      <c r="J23" s="6">
        <v>9</v>
      </c>
      <c r="K23" s="6">
        <v>10</v>
      </c>
      <c r="L23" s="6">
        <v>11</v>
      </c>
      <c r="M23" s="6">
        <v>12</v>
      </c>
      <c r="N23" s="6">
        <v>1</v>
      </c>
      <c r="O23" s="6">
        <v>2</v>
      </c>
    </row>
    <row r="24" spans="1:32" x14ac:dyDescent="0.3">
      <c r="A24" s="3" t="e">
        <f>CO_PO_Mapping!#REF!</f>
        <v>#REF!</v>
      </c>
      <c r="B24" s="7">
        <f>IF(CO_PO_Mapping!V8="-","-",(CO_PO_Mapping!V8/3)*ATTAINMENT!$Q$14)</f>
        <v>0</v>
      </c>
      <c r="C24" s="7">
        <f>IF(CO_PO_Mapping!W8="-","-",(CO_PO_Mapping!W8/3)*ATTAINMENT!$Q$14)</f>
        <v>0</v>
      </c>
      <c r="D24" s="7"/>
      <c r="E24" s="7"/>
      <c r="F24" s="7"/>
      <c r="G24" s="7"/>
      <c r="H24" s="7"/>
      <c r="I24" s="7"/>
      <c r="J24" s="7"/>
      <c r="K24" s="7"/>
      <c r="L24" s="7"/>
      <c r="M24" s="7"/>
      <c r="N24" s="7"/>
      <c r="O24" s="7"/>
    </row>
    <row r="25" spans="1:32" x14ac:dyDescent="0.3">
      <c r="A25" s="3" t="str">
        <f>CO_PO_Mapping!U20</f>
        <v>C403.2</v>
      </c>
      <c r="B25" s="7">
        <f>IF(CO_PO_Mapping!V9="-","-",(CO_PO_Mapping!V9/3)*ATTAINMENT!$Q$15)</f>
        <v>0</v>
      </c>
      <c r="C25" s="7">
        <f>IF(CO_PO_Mapping!W9="-","-",(CO_PO_Mapping!W9/3)*ATTAINMENT!$Q$15)</f>
        <v>0</v>
      </c>
      <c r="D25" s="7">
        <f>IF(CO_PO_Mapping!X9="-","-",(CO_PO_Mapping!X9/3)*ATTAINMENT!$Q$15)</f>
        <v>0</v>
      </c>
      <c r="E25" s="7">
        <f>IF(CO_PO_Mapping!AA9="-","-",(CO_PO_Mapping!AA9/3)*ATTAINMENT!$Q$15)</f>
        <v>0</v>
      </c>
      <c r="F25" s="7">
        <f>IF(CO_PO_Mapping!AB9="-","-",(CO_PO_Mapping!AB9/3)*ATTAINMENT!$Q$15)</f>
        <v>0</v>
      </c>
      <c r="G25" s="7">
        <f>IF(CO_PO_Mapping!AC9="-","-",(CO_PO_Mapping!AC9/3)*ATTAINMENT!$Q$15)</f>
        <v>0</v>
      </c>
      <c r="H25" s="7"/>
      <c r="I25" s="7"/>
      <c r="J25" s="7">
        <f>IF(CO_PO_Mapping!AF9="-","-",(CO_PO_Mapping!AF9/3)*ATTAINMENT!$Q$15)</f>
        <v>0</v>
      </c>
      <c r="K25" s="7">
        <f>IF(CO_PO_Mapping!AG9="-","-",(CO_PO_Mapping!AG9/3)*ATTAINMENT!$Q$15)</f>
        <v>0</v>
      </c>
      <c r="L25" s="7"/>
      <c r="M25" s="7"/>
      <c r="N25" s="7">
        <f>IF(CO_PO_Mapping!AJ9="-","-",(CO_PO_Mapping!AJ9/3)*ATTAINMENT!$Q$15)</f>
        <v>0</v>
      </c>
      <c r="O25" s="7">
        <f>IF(CO_PO_Mapping!AK9="-","-",(CO_PO_Mapping!AK9/3)*ATTAINMENT!$Q$15)</f>
        <v>0</v>
      </c>
    </row>
    <row r="26" spans="1:32" x14ac:dyDescent="0.3">
      <c r="A26" s="3" t="str">
        <f>CO_PO_Mapping!U21</f>
        <v>C403.3</v>
      </c>
      <c r="B26" s="7">
        <f>IF(CO_PO_Mapping!V10="-","-",(CO_PO_Mapping!V10/3)*ATTAINMENT!$Q$16)</f>
        <v>0</v>
      </c>
      <c r="C26" s="7">
        <f>IF(CO_PO_Mapping!W10="-","-",(CO_PO_Mapping!W10/3)*ATTAINMENT!$Q$16)</f>
        <v>0</v>
      </c>
      <c r="D26" s="7">
        <f>IF(CO_PO_Mapping!X10="-","-",(CO_PO_Mapping!X10/3)*ATTAINMENT!$Q$16)</f>
        <v>0</v>
      </c>
      <c r="E26" s="7">
        <f>IF(CO_PO_Mapping!AA10="-","-",(CO_PO_Mapping!AA10/3)*ATTAINMENT!$Q$16)</f>
        <v>0</v>
      </c>
      <c r="F26" s="7">
        <f>IF(CO_PO_Mapping!AB10="-","-",(CO_PO_Mapping!AB10/3)*ATTAINMENT!$Q$16)</f>
        <v>0</v>
      </c>
      <c r="G26" s="7">
        <f>IF(CO_PO_Mapping!AC10="-","-",(CO_PO_Mapping!AC10/3)*ATTAINMENT!$Q$16)</f>
        <v>0</v>
      </c>
      <c r="H26" s="7"/>
      <c r="I26" s="7"/>
      <c r="J26" s="7">
        <f>IF(CO_PO_Mapping!AF10="-","-",(CO_PO_Mapping!AF10/3)*ATTAINMENT!$Q$16)</f>
        <v>0</v>
      </c>
      <c r="K26" s="7">
        <f>IF(CO_PO_Mapping!AG10="-","-",(CO_PO_Mapping!AG10/3)*ATTAINMENT!$Q$16)</f>
        <v>0</v>
      </c>
      <c r="L26" s="7"/>
      <c r="M26" s="7"/>
      <c r="N26" s="7">
        <f>IF(CO_PO_Mapping!AJ10="-","-",(CO_PO_Mapping!AJ10/3)*ATTAINMENT!$Q$16)</f>
        <v>0</v>
      </c>
      <c r="O26" s="7">
        <f>IF(CO_PO_Mapping!AK10="-","-",(CO_PO_Mapping!AK10/3)*ATTAINMENT!$Q$16)</f>
        <v>0</v>
      </c>
    </row>
    <row r="27" spans="1:32" x14ac:dyDescent="0.3">
      <c r="A27" s="3" t="str">
        <f>CO_PO_Mapping!U22</f>
        <v>C403.4</v>
      </c>
      <c r="B27" s="7">
        <f>IF(CO_PO_Mapping!V11="-","-",(CO_PO_Mapping!V11/3)*ATTAINMENT!$Q$17)</f>
        <v>0</v>
      </c>
      <c r="C27" s="7">
        <f>IF(CO_PO_Mapping!W11="-","-",(CO_PO_Mapping!W11/3)*ATTAINMENT!$Q$17)</f>
        <v>0</v>
      </c>
      <c r="D27" s="7">
        <f>IF(CO_PO_Mapping!X11="-","-",(CO_PO_Mapping!X11/3)*ATTAINMENT!$Q$17)</f>
        <v>0</v>
      </c>
      <c r="E27" s="7">
        <f>IF(CO_PO_Mapping!AA11="-","-",(CO_PO_Mapping!AA11/3)*ATTAINMENT!$Q$17)</f>
        <v>0</v>
      </c>
      <c r="F27" s="7">
        <f>IF(CO_PO_Mapping!AB11="-","-",(CO_PO_Mapping!AB11/3)*ATTAINMENT!$Q$17)</f>
        <v>0</v>
      </c>
      <c r="G27" s="7">
        <f>IF(CO_PO_Mapping!AC11="-","-",(CO_PO_Mapping!AC11/3)*ATTAINMENT!$Q$17)</f>
        <v>0</v>
      </c>
      <c r="H27" s="7"/>
      <c r="I27" s="7"/>
      <c r="J27" s="7">
        <f>IF(CO_PO_Mapping!AF11="-","-",(CO_PO_Mapping!AF11/3)*ATTAINMENT!$Q$17)</f>
        <v>0</v>
      </c>
      <c r="K27" s="7">
        <f>IF(CO_PO_Mapping!AG11="-","-",(CO_PO_Mapping!AG11/3)*ATTAINMENT!$Q$17)</f>
        <v>0</v>
      </c>
      <c r="L27" s="7"/>
      <c r="M27" s="7"/>
      <c r="N27" s="7">
        <f>IF(CO_PO_Mapping!AJ11="-","-",(CO_PO_Mapping!AJ11/3)*ATTAINMENT!$Q$17)</f>
        <v>0</v>
      </c>
      <c r="O27" s="7">
        <f>IF(CO_PO_Mapping!AK11="-","-",(CO_PO_Mapping!AK11/3)*ATTAINMENT!$Q$17)</f>
        <v>0</v>
      </c>
    </row>
    <row r="28" spans="1:32" x14ac:dyDescent="0.3">
      <c r="A28" s="3" t="str">
        <f>CO_PO_Mapping!U23</f>
        <v>C403.5</v>
      </c>
      <c r="B28" s="7">
        <f>IF(CO_PO_Mapping!V12="-","-",(CO_PO_Mapping!V12/3)*ATTAINMENT!$Q$18)</f>
        <v>0</v>
      </c>
      <c r="C28" s="7">
        <f>IF(CO_PO_Mapping!W12="-","-",(CO_PO_Mapping!W12/3)*ATTAINMENT!$Q$18)</f>
        <v>0</v>
      </c>
      <c r="D28" s="7">
        <f>IF(CO_PO_Mapping!X12="-","-",(CO_PO_Mapping!X12/3)*ATTAINMENT!$Q$18)</f>
        <v>0</v>
      </c>
      <c r="E28" s="7">
        <f>IF(CO_PO_Mapping!AA12="-","-",(CO_PO_Mapping!AA12/3)*ATTAINMENT!$Q$18)</f>
        <v>0</v>
      </c>
      <c r="F28" s="7">
        <f>IF(CO_PO_Mapping!AB12="-","-",(CO_PO_Mapping!AB12/3)*ATTAINMENT!$Q$18)</f>
        <v>0</v>
      </c>
      <c r="G28" s="7">
        <f>IF(CO_PO_Mapping!AC12="-","-",(CO_PO_Mapping!AC12/3)*ATTAINMENT!$Q$18)</f>
        <v>0</v>
      </c>
      <c r="H28" s="7"/>
      <c r="I28" s="7"/>
      <c r="J28" s="7">
        <f>IF(CO_PO_Mapping!AF12="-","-",(CO_PO_Mapping!AF12/3)*ATTAINMENT!$Q$18)</f>
        <v>0</v>
      </c>
      <c r="K28" s="7">
        <f>IF(CO_PO_Mapping!AG12="-","-",(CO_PO_Mapping!AG12/3)*ATTAINMENT!$Q$18)</f>
        <v>0</v>
      </c>
      <c r="L28" s="7"/>
      <c r="M28" s="7"/>
      <c r="N28" s="7">
        <f>IF(CO_PO_Mapping!AJ12="-","-",(CO_PO_Mapping!AJ12/3)*ATTAINMENT!$Q$18)</f>
        <v>0</v>
      </c>
      <c r="O28" s="7">
        <f>IF(CO_PO_Mapping!AK12="-","-",(CO_PO_Mapping!AK12/3)*ATTAINMENT!$Q$18)</f>
        <v>0</v>
      </c>
    </row>
    <row r="29" spans="1:32" x14ac:dyDescent="0.3">
      <c r="A29" s="3" t="str">
        <f>CO_PO_Mapping!U24</f>
        <v>C403.6</v>
      </c>
      <c r="B29" s="7">
        <f>IF(CO_PO_Mapping!V13="-","-",(CO_PO_Mapping!V13/3)*ATTAINMENT!$Q$19)</f>
        <v>0</v>
      </c>
      <c r="C29" s="7">
        <f>IF(CO_PO_Mapping!W13="-","-",(CO_PO_Mapping!W13/3)*ATTAINMENT!$Q$19)</f>
        <v>0</v>
      </c>
      <c r="D29" s="7">
        <f>IF(CO_PO_Mapping!X13="-","-",(CO_PO_Mapping!X13/3)*ATTAINMENT!$Q$19)</f>
        <v>0</v>
      </c>
      <c r="E29" s="7">
        <f>IF(CO_PO_Mapping!AA13="-","-",(CO_PO_Mapping!AA13/3)*ATTAINMENT!$Q$19)</f>
        <v>0</v>
      </c>
      <c r="F29" s="7">
        <f>IF(CO_PO_Mapping!AB13="-","-",(CO_PO_Mapping!AB13/3)*ATTAINMENT!$Q$19)</f>
        <v>0</v>
      </c>
      <c r="G29" s="7">
        <f>IF(CO_PO_Mapping!AC13="-","-",(CO_PO_Mapping!AC13/3)*ATTAINMENT!$Q$19)</f>
        <v>0</v>
      </c>
      <c r="H29" s="7"/>
      <c r="I29" s="7"/>
      <c r="J29" s="7">
        <f>IF(CO_PO_Mapping!AF13="-","-",(CO_PO_Mapping!AF13/3)*ATTAINMENT!$Q$19)</f>
        <v>0</v>
      </c>
      <c r="K29" s="7">
        <f>IF(CO_PO_Mapping!AG13="-","-",(CO_PO_Mapping!AG13/3)*ATTAINMENT!$Q$19)</f>
        <v>0</v>
      </c>
      <c r="L29" s="7"/>
      <c r="M29" s="7"/>
      <c r="N29" s="7">
        <f>IF(CO_PO_Mapping!AJ13="-","-",(CO_PO_Mapping!AJ13/3)*ATTAINMENT!$Q$19)</f>
        <v>0</v>
      </c>
      <c r="O29" s="7">
        <f>IF(CO_PO_Mapping!AK13="-","-",(CO_PO_Mapping!AK13/3)*ATTAINMENT!$Q$19)</f>
        <v>0</v>
      </c>
    </row>
    <row r="30" spans="1:32" ht="15.6" x14ac:dyDescent="0.3">
      <c r="A30" s="74">
        <f>CO_PO_Mapping!U14</f>
        <v>0</v>
      </c>
      <c r="B30" s="75" t="str">
        <f>IF(SUM(B24:B29)=0,"-",AVERAGE(B24:B29))</f>
        <v>-</v>
      </c>
      <c r="C30" s="75" t="str">
        <f t="shared" ref="C30:O30" si="4">IF(SUM(C24:C29)=0,"-",AVERAGE(C24:C29))</f>
        <v>-</v>
      </c>
      <c r="D30" s="75" t="str">
        <f t="shared" si="4"/>
        <v>-</v>
      </c>
      <c r="E30" s="75" t="str">
        <f t="shared" si="4"/>
        <v>-</v>
      </c>
      <c r="F30" s="75" t="str">
        <f t="shared" si="4"/>
        <v>-</v>
      </c>
      <c r="G30" s="75" t="str">
        <f t="shared" si="4"/>
        <v>-</v>
      </c>
      <c r="H30" s="75" t="str">
        <f t="shared" si="4"/>
        <v>-</v>
      </c>
      <c r="I30" s="75" t="str">
        <f t="shared" si="4"/>
        <v>-</v>
      </c>
      <c r="J30" s="75" t="str">
        <f t="shared" si="4"/>
        <v>-</v>
      </c>
      <c r="K30" s="75" t="str">
        <f t="shared" si="4"/>
        <v>-</v>
      </c>
      <c r="L30" s="75" t="str">
        <f t="shared" si="4"/>
        <v>-</v>
      </c>
      <c r="M30" s="75" t="str">
        <f t="shared" si="4"/>
        <v>-</v>
      </c>
      <c r="N30" s="75" t="str">
        <f t="shared" si="4"/>
        <v>-</v>
      </c>
      <c r="O30" s="75" t="str">
        <f t="shared" si="4"/>
        <v>-</v>
      </c>
      <c r="S30" s="70"/>
      <c r="T30" s="70"/>
      <c r="U30" s="70"/>
      <c r="V30" s="70"/>
      <c r="W30" s="70"/>
      <c r="X30" s="70"/>
      <c r="Y30" s="70"/>
      <c r="Z30" s="70"/>
      <c r="AA30" s="70"/>
      <c r="AB30" s="70"/>
      <c r="AC30" s="70"/>
      <c r="AD30" s="70"/>
      <c r="AE30" s="70"/>
      <c r="AF30" s="70"/>
    </row>
    <row r="48" spans="6:12" ht="15" customHeight="1" x14ac:dyDescent="0.3">
      <c r="F48" s="696" t="s">
        <v>28</v>
      </c>
      <c r="G48" s="696"/>
      <c r="H48" s="696"/>
      <c r="I48" s="696"/>
      <c r="J48" s="696"/>
      <c r="K48" s="696"/>
      <c r="L48" s="696"/>
    </row>
    <row r="65" spans="6:6" x14ac:dyDescent="0.3">
      <c r="F65" s="8" t="s">
        <v>30</v>
      </c>
    </row>
  </sheetData>
  <mergeCells count="14">
    <mergeCell ref="F48:L48"/>
    <mergeCell ref="N22:O22"/>
    <mergeCell ref="Q11:Q12"/>
    <mergeCell ref="A1:L1"/>
    <mergeCell ref="B22:M22"/>
    <mergeCell ref="B11:L11"/>
    <mergeCell ref="A11:A12"/>
    <mergeCell ref="A22:A23"/>
    <mergeCell ref="A21:O21"/>
    <mergeCell ref="B7:D7"/>
    <mergeCell ref="E2:G2"/>
    <mergeCell ref="M11:M12"/>
    <mergeCell ref="I2:N2"/>
    <mergeCell ref="B2:D2"/>
  </mergeCells>
  <phoneticPr fontId="8" type="noConversion"/>
  <pageMargins left="0.7" right="0.7" top="0.75" bottom="0.75" header="0.3" footer="0.3"/>
  <pageSetup paperSize="9" scale="85" orientation="landscape" r:id="rId1"/>
  <rowBreaks count="1" manualBreakCount="1">
    <brk id="31" max="17" man="1"/>
  </rowBreaks>
  <ignoredErrors>
    <ignoredError sqref="M17" formula="1"/>
  </ignoredError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E52"/>
  <sheetViews>
    <sheetView zoomScale="90" zoomScaleNormal="90" workbookViewId="0">
      <selection activeCell="B8" sqref="B8"/>
    </sheetView>
  </sheetViews>
  <sheetFormatPr defaultColWidth="9.109375" defaultRowHeight="14.4" x14ac:dyDescent="0.3"/>
  <cols>
    <col min="2" max="2" width="11" customWidth="1"/>
    <col min="3" max="3" width="13.109375" customWidth="1"/>
    <col min="4" max="4" width="9.5546875" bestFit="1" customWidth="1"/>
    <col min="5" max="5" width="11" customWidth="1"/>
    <col min="6" max="7" width="9.5546875" bestFit="1" customWidth="1"/>
    <col min="11" max="11" width="9.5546875" bestFit="1" customWidth="1"/>
    <col min="14" max="15" width="9.5546875" bestFit="1" customWidth="1"/>
    <col min="16" max="16" width="15.109375" customWidth="1"/>
    <col min="18" max="18" width="12.5546875" customWidth="1"/>
    <col min="19" max="23" width="9.109375" customWidth="1"/>
    <col min="24" max="24" width="16.44140625" customWidth="1"/>
    <col min="25" max="31" width="9.109375" customWidth="1"/>
  </cols>
  <sheetData>
    <row r="1" spans="1:17" ht="16.2" thickBot="1" x14ac:dyDescent="0.35">
      <c r="B1" s="867" t="s">
        <v>168</v>
      </c>
      <c r="C1" s="868"/>
      <c r="D1" s="868"/>
      <c r="E1" s="868"/>
      <c r="F1" s="868"/>
      <c r="G1" s="868"/>
      <c r="H1" s="868"/>
      <c r="I1" s="868"/>
      <c r="J1" s="868"/>
      <c r="K1" s="868"/>
      <c r="L1" s="868"/>
      <c r="M1" s="868"/>
      <c r="N1" s="868"/>
      <c r="O1" s="868"/>
      <c r="P1" s="868"/>
      <c r="Q1" s="869"/>
    </row>
    <row r="2" spans="1:17" x14ac:dyDescent="0.3">
      <c r="B2" s="864" t="s">
        <v>34</v>
      </c>
      <c r="C2" s="864"/>
      <c r="D2" s="60" t="s">
        <v>35</v>
      </c>
      <c r="E2" s="60" t="s">
        <v>36</v>
      </c>
      <c r="F2" s="60" t="s">
        <v>37</v>
      </c>
      <c r="G2" s="60" t="s">
        <v>38</v>
      </c>
      <c r="H2" s="60" t="s">
        <v>39</v>
      </c>
      <c r="I2" s="60" t="s">
        <v>40</v>
      </c>
      <c r="J2" s="60" t="s">
        <v>41</v>
      </c>
      <c r="K2" s="60" t="s">
        <v>42</v>
      </c>
      <c r="L2" s="60" t="s">
        <v>43</v>
      </c>
      <c r="M2" s="60" t="s">
        <v>44</v>
      </c>
      <c r="N2" s="60" t="s">
        <v>45</v>
      </c>
      <c r="O2" s="60" t="s">
        <v>46</v>
      </c>
      <c r="P2" s="60" t="s">
        <v>47</v>
      </c>
      <c r="Q2" s="60" t="s">
        <v>48</v>
      </c>
    </row>
    <row r="3" spans="1:17" x14ac:dyDescent="0.3">
      <c r="B3" s="9" t="s">
        <v>49</v>
      </c>
      <c r="C3" s="10" t="s">
        <v>120</v>
      </c>
      <c r="D3" s="10"/>
      <c r="E3" s="10"/>
      <c r="F3" s="10"/>
      <c r="G3" s="10"/>
      <c r="H3" s="63"/>
      <c r="I3" s="10"/>
      <c r="J3" s="10"/>
      <c r="K3" s="10"/>
      <c r="L3" s="10"/>
      <c r="M3" s="10"/>
      <c r="N3" s="10"/>
      <c r="O3" s="10"/>
      <c r="P3" s="10"/>
      <c r="Q3" s="63"/>
    </row>
    <row r="4" spans="1:17" x14ac:dyDescent="0.3">
      <c r="B4" s="11" t="s">
        <v>50</v>
      </c>
      <c r="C4" s="12" t="s">
        <v>120</v>
      </c>
      <c r="D4" s="13"/>
      <c r="E4" s="13"/>
      <c r="F4" s="13"/>
      <c r="G4" s="13"/>
      <c r="H4" s="13"/>
      <c r="I4" s="13"/>
      <c r="J4" s="13"/>
      <c r="K4" s="13"/>
      <c r="L4" s="13"/>
      <c r="M4" s="13"/>
      <c r="N4" s="13"/>
      <c r="O4" s="13"/>
      <c r="P4" s="13"/>
      <c r="Q4" s="13"/>
    </row>
    <row r="5" spans="1:17" x14ac:dyDescent="0.3">
      <c r="B5" s="865" t="s">
        <v>51</v>
      </c>
      <c r="C5" s="865"/>
      <c r="D5" s="14" t="e">
        <f>D4/D3*100</f>
        <v>#DIV/0!</v>
      </c>
      <c r="E5" s="14" t="e">
        <f t="shared" ref="E5:Q5" si="0">E4/E3*100</f>
        <v>#DIV/0!</v>
      </c>
      <c r="F5" s="14" t="e">
        <f t="shared" si="0"/>
        <v>#DIV/0!</v>
      </c>
      <c r="G5" s="14" t="e">
        <f t="shared" si="0"/>
        <v>#DIV/0!</v>
      </c>
      <c r="H5" s="14" t="e">
        <f t="shared" si="0"/>
        <v>#DIV/0!</v>
      </c>
      <c r="I5" s="14"/>
      <c r="J5" s="14"/>
      <c r="K5" s="14"/>
      <c r="L5" s="14" t="e">
        <f t="shared" si="0"/>
        <v>#DIV/0!</v>
      </c>
      <c r="M5" s="14" t="e">
        <f t="shared" si="0"/>
        <v>#DIV/0!</v>
      </c>
      <c r="N5" s="14"/>
      <c r="O5" s="14"/>
      <c r="P5" s="14" t="e">
        <f t="shared" si="0"/>
        <v>#DIV/0!</v>
      </c>
      <c r="Q5" s="14" t="e">
        <f t="shared" si="0"/>
        <v>#DIV/0!</v>
      </c>
    </row>
    <row r="6" spans="1:17" ht="15" thickBot="1" x14ac:dyDescent="0.35"/>
    <row r="7" spans="1:17" ht="16.2" thickBot="1" x14ac:dyDescent="0.35">
      <c r="B7" s="867" t="s">
        <v>221</v>
      </c>
      <c r="C7" s="868"/>
      <c r="D7" s="868"/>
      <c r="E7" s="868"/>
      <c r="F7" s="868"/>
      <c r="G7" s="868"/>
      <c r="H7" s="868"/>
      <c r="I7" s="868"/>
      <c r="J7" s="868"/>
      <c r="K7" s="868"/>
      <c r="L7" s="868"/>
      <c r="M7" s="868"/>
      <c r="N7" s="868"/>
      <c r="O7" s="868"/>
      <c r="P7" s="868"/>
      <c r="Q7" s="869"/>
    </row>
    <row r="8" spans="1:17" ht="15.6" x14ac:dyDescent="0.3">
      <c r="D8" s="21"/>
      <c r="E8" s="20"/>
      <c r="F8" s="20"/>
      <c r="G8" s="20"/>
      <c r="H8" s="20"/>
      <c r="I8" s="20"/>
      <c r="J8" s="20"/>
      <c r="K8" s="20"/>
      <c r="L8" s="20"/>
      <c r="M8" s="20"/>
    </row>
    <row r="9" spans="1:17" x14ac:dyDescent="0.3">
      <c r="A9" s="21"/>
      <c r="B9" s="16" t="s">
        <v>34</v>
      </c>
      <c r="C9" s="17"/>
      <c r="D9" s="60" t="s">
        <v>35</v>
      </c>
      <c r="E9" s="60" t="s">
        <v>36</v>
      </c>
      <c r="F9" s="60" t="s">
        <v>37</v>
      </c>
      <c r="G9" s="60" t="s">
        <v>38</v>
      </c>
      <c r="H9" s="60" t="s">
        <v>39</v>
      </c>
      <c r="I9" s="60" t="s">
        <v>40</v>
      </c>
      <c r="J9" s="60" t="s">
        <v>41</v>
      </c>
      <c r="K9" s="60" t="s">
        <v>42</v>
      </c>
      <c r="L9" s="60" t="s">
        <v>43</v>
      </c>
      <c r="M9" s="60" t="s">
        <v>44</v>
      </c>
      <c r="N9" s="60" t="s">
        <v>45</v>
      </c>
      <c r="O9" s="60" t="s">
        <v>46</v>
      </c>
      <c r="P9" s="60" t="s">
        <v>47</v>
      </c>
      <c r="Q9" s="60" t="s">
        <v>48</v>
      </c>
    </row>
    <row r="10" spans="1:17" x14ac:dyDescent="0.3">
      <c r="A10" s="61"/>
      <c r="B10" s="9" t="s">
        <v>49</v>
      </c>
      <c r="C10" s="10" t="s">
        <v>120</v>
      </c>
      <c r="D10" s="10">
        <v>2</v>
      </c>
      <c r="E10" s="10">
        <v>2</v>
      </c>
      <c r="F10" s="10">
        <v>2</v>
      </c>
      <c r="G10" s="10">
        <v>2</v>
      </c>
      <c r="H10" s="63">
        <v>1.4</v>
      </c>
      <c r="I10" s="10">
        <v>1.2</v>
      </c>
      <c r="J10" s="10" t="s">
        <v>10</v>
      </c>
      <c r="K10" s="10" t="s">
        <v>10</v>
      </c>
      <c r="L10" s="10">
        <v>1.4</v>
      </c>
      <c r="M10" s="10">
        <v>1.4</v>
      </c>
      <c r="N10" s="10" t="s">
        <v>10</v>
      </c>
      <c r="O10" s="10" t="s">
        <v>10</v>
      </c>
      <c r="P10" s="10">
        <v>1</v>
      </c>
      <c r="Q10" s="63">
        <v>1.2</v>
      </c>
    </row>
    <row r="11" spans="1:17" x14ac:dyDescent="0.3">
      <c r="A11" s="61"/>
      <c r="B11" s="11" t="s">
        <v>50</v>
      </c>
      <c r="C11" s="12" t="s">
        <v>120</v>
      </c>
      <c r="D11" s="10">
        <v>1.0333333333333332</v>
      </c>
      <c r="E11" s="10">
        <v>1.0333333333333332</v>
      </c>
      <c r="F11" s="10">
        <v>1.0666666666666669</v>
      </c>
      <c r="G11" s="10">
        <v>1.0666666666666669</v>
      </c>
      <c r="H11" s="63">
        <v>0.7566666666666666</v>
      </c>
      <c r="I11" s="10">
        <v>0.64</v>
      </c>
      <c r="J11" s="10" t="s">
        <v>10</v>
      </c>
      <c r="K11" s="10" t="s">
        <v>10</v>
      </c>
      <c r="L11" s="10">
        <v>0.7566666666666666</v>
      </c>
      <c r="M11" s="10">
        <v>0.7566666666666666</v>
      </c>
      <c r="N11" s="10" t="s">
        <v>10</v>
      </c>
      <c r="O11" s="10" t="s">
        <v>10</v>
      </c>
      <c r="P11" s="10">
        <v>0.54333333333333333</v>
      </c>
      <c r="Q11" s="63">
        <v>0.64</v>
      </c>
    </row>
    <row r="12" spans="1:17" x14ac:dyDescent="0.3">
      <c r="A12" s="21"/>
      <c r="B12" s="873" t="s">
        <v>51</v>
      </c>
      <c r="C12" s="874"/>
      <c r="D12" s="14">
        <f>D11/D10*100</f>
        <v>51.666666666666657</v>
      </c>
      <c r="E12" s="14">
        <f t="shared" ref="E12:I12" si="1">E11/E10*100</f>
        <v>51.666666666666657</v>
      </c>
      <c r="F12" s="14">
        <f t="shared" si="1"/>
        <v>53.333333333333343</v>
      </c>
      <c r="G12" s="14">
        <f t="shared" si="1"/>
        <v>53.333333333333343</v>
      </c>
      <c r="H12" s="14">
        <f t="shared" si="1"/>
        <v>54.047619047619044</v>
      </c>
      <c r="I12" s="14">
        <f t="shared" si="1"/>
        <v>53.333333333333336</v>
      </c>
      <c r="J12" s="14"/>
      <c r="K12" s="14"/>
      <c r="L12" s="14">
        <f t="shared" ref="L12:P12" si="2">L11/L10*100</f>
        <v>54.047619047619044</v>
      </c>
      <c r="M12" s="14">
        <f t="shared" si="2"/>
        <v>54.047619047619044</v>
      </c>
      <c r="N12" s="14"/>
      <c r="O12" s="14"/>
      <c r="P12" s="14">
        <f t="shared" si="2"/>
        <v>54.333333333333336</v>
      </c>
      <c r="Q12" s="14">
        <f>Q11/Q10*100</f>
        <v>53.333333333333336</v>
      </c>
    </row>
    <row r="14" spans="1:17" x14ac:dyDescent="0.3">
      <c r="A14" s="854" t="s">
        <v>52</v>
      </c>
      <c r="B14" s="854"/>
      <c r="C14" s="854"/>
      <c r="D14" s="854"/>
      <c r="E14" s="854"/>
      <c r="F14" s="854"/>
      <c r="G14" s="854"/>
      <c r="H14" s="854"/>
      <c r="I14" s="854"/>
    </row>
    <row r="15" spans="1:17" x14ac:dyDescent="0.3">
      <c r="A15" s="855" t="s">
        <v>136</v>
      </c>
      <c r="B15" s="855"/>
      <c r="C15" s="856" t="s">
        <v>137</v>
      </c>
      <c r="D15" s="857"/>
      <c r="E15" s="857"/>
      <c r="F15" s="857"/>
      <c r="G15" s="857"/>
      <c r="H15" s="857"/>
      <c r="I15" s="858"/>
    </row>
    <row r="16" spans="1:17" x14ac:dyDescent="0.3">
      <c r="A16" s="855" t="s">
        <v>53</v>
      </c>
      <c r="B16" s="855"/>
      <c r="C16" s="856" t="s">
        <v>138</v>
      </c>
      <c r="D16" s="857"/>
      <c r="E16" s="857"/>
      <c r="F16" s="857"/>
      <c r="G16" s="857"/>
      <c r="H16" s="857"/>
      <c r="I16" s="858"/>
    </row>
    <row r="17" spans="1:31" x14ac:dyDescent="0.3">
      <c r="A17" s="855" t="s">
        <v>139</v>
      </c>
      <c r="B17" s="855"/>
      <c r="C17" s="856" t="s">
        <v>140</v>
      </c>
      <c r="D17" s="857"/>
      <c r="E17" s="857"/>
      <c r="F17" s="857"/>
      <c r="G17" s="857"/>
      <c r="H17" s="857"/>
      <c r="I17" s="858"/>
    </row>
    <row r="18" spans="1:31" s="1" customFormat="1" x14ac:dyDescent="0.3">
      <c r="A18" s="855" t="s">
        <v>141</v>
      </c>
      <c r="B18" s="855"/>
      <c r="C18" s="856" t="s">
        <v>142</v>
      </c>
      <c r="D18" s="857"/>
      <c r="E18" s="857"/>
      <c r="F18" s="857"/>
      <c r="G18" s="857"/>
      <c r="H18" s="857"/>
      <c r="I18" s="858"/>
      <c r="V18"/>
    </row>
    <row r="19" spans="1:31" ht="15" thickBot="1" x14ac:dyDescent="0.35">
      <c r="A19" s="606"/>
      <c r="B19" s="606"/>
      <c r="C19" s="606"/>
      <c r="D19" s="606"/>
      <c r="E19" s="606"/>
      <c r="F19" s="606"/>
      <c r="G19" s="606"/>
      <c r="H19" s="606"/>
      <c r="I19" s="606"/>
      <c r="J19" s="606"/>
      <c r="K19" s="606"/>
      <c r="L19" s="606"/>
      <c r="M19" s="61"/>
      <c r="V19" s="1"/>
    </row>
    <row r="20" spans="1:31" ht="15" thickBot="1" x14ac:dyDescent="0.35">
      <c r="A20" s="870" t="s">
        <v>220</v>
      </c>
      <c r="B20" s="871"/>
      <c r="C20" s="871"/>
      <c r="D20" s="871"/>
      <c r="E20" s="871"/>
      <c r="F20" s="871"/>
      <c r="G20" s="871"/>
      <c r="H20" s="871"/>
      <c r="I20" s="871"/>
      <c r="J20" s="871"/>
      <c r="K20" s="872"/>
      <c r="M20" s="606"/>
      <c r="N20" s="606"/>
      <c r="O20" s="606"/>
      <c r="P20" s="606"/>
      <c r="Q20" s="606"/>
      <c r="R20" s="606"/>
      <c r="S20" s="606"/>
      <c r="T20" s="606"/>
      <c r="U20" s="606"/>
      <c r="V20" s="606"/>
      <c r="W20" s="606"/>
      <c r="X20" s="606"/>
      <c r="Y20" s="606"/>
      <c r="Z20" s="606"/>
      <c r="AA20" s="606"/>
      <c r="AB20" s="606"/>
      <c r="AC20" s="606"/>
      <c r="AD20" s="606"/>
      <c r="AE20" s="606"/>
    </row>
    <row r="21" spans="1:31" ht="24.75" customHeight="1" x14ac:dyDescent="0.3">
      <c r="A21" s="15" t="s">
        <v>7</v>
      </c>
      <c r="B21" s="859" t="s">
        <v>170</v>
      </c>
      <c r="C21" s="860"/>
      <c r="D21" s="862" t="s">
        <v>54</v>
      </c>
      <c r="E21" s="863"/>
      <c r="F21" s="861" t="s">
        <v>143</v>
      </c>
      <c r="G21" s="861"/>
      <c r="H21" s="861"/>
      <c r="I21" s="861"/>
      <c r="J21" s="861"/>
      <c r="K21" s="861"/>
      <c r="L21" s="859" t="s">
        <v>144</v>
      </c>
      <c r="M21" s="876"/>
      <c r="N21" s="876"/>
      <c r="O21" s="876"/>
      <c r="P21" s="876"/>
      <c r="Q21" s="860"/>
      <c r="R21" s="875"/>
      <c r="S21" s="875"/>
      <c r="T21" s="875"/>
      <c r="U21" s="875"/>
      <c r="V21" s="875"/>
      <c r="W21" s="875"/>
      <c r="X21" s="875"/>
      <c r="Y21" s="875"/>
      <c r="Z21" s="875"/>
      <c r="AA21" s="875"/>
      <c r="AB21" s="875"/>
      <c r="AC21" s="875"/>
      <c r="AD21" s="875"/>
      <c r="AE21" s="875"/>
    </row>
    <row r="22" spans="1:31" ht="51.75" customHeight="1" x14ac:dyDescent="0.3">
      <c r="A22" s="125" t="s">
        <v>35</v>
      </c>
      <c r="B22" s="842">
        <f>D12</f>
        <v>51.666666666666657</v>
      </c>
      <c r="C22" s="843"/>
      <c r="D22" s="844" t="s">
        <v>209</v>
      </c>
      <c r="E22" s="845"/>
      <c r="F22" s="852" t="s">
        <v>210</v>
      </c>
      <c r="G22" s="852"/>
      <c r="H22" s="852"/>
      <c r="I22" s="852"/>
      <c r="J22" s="852"/>
      <c r="K22" s="852"/>
      <c r="L22" s="878" t="s">
        <v>219</v>
      </c>
      <c r="M22" s="879"/>
      <c r="N22" s="879"/>
      <c r="O22" s="879"/>
      <c r="P22" s="879"/>
      <c r="Q22" s="880"/>
      <c r="R22" s="866"/>
      <c r="S22" s="866"/>
      <c r="T22" s="866"/>
      <c r="U22" s="866"/>
      <c r="V22" s="866"/>
      <c r="W22" s="866"/>
      <c r="X22" s="866"/>
      <c r="Y22" s="853"/>
      <c r="Z22" s="853"/>
      <c r="AA22" s="853"/>
      <c r="AB22" s="853"/>
      <c r="AC22" s="853"/>
      <c r="AD22" s="853"/>
      <c r="AE22" s="853"/>
    </row>
    <row r="23" spans="1:31" ht="61.5" customHeight="1" x14ac:dyDescent="0.3">
      <c r="A23" s="125" t="s">
        <v>36</v>
      </c>
      <c r="B23" s="842">
        <f>E12</f>
        <v>51.666666666666657</v>
      </c>
      <c r="C23" s="843"/>
      <c r="D23" s="844" t="s">
        <v>209</v>
      </c>
      <c r="E23" s="845"/>
      <c r="F23" s="852" t="s">
        <v>211</v>
      </c>
      <c r="G23" s="852"/>
      <c r="H23" s="852"/>
      <c r="I23" s="852"/>
      <c r="J23" s="852"/>
      <c r="K23" s="852"/>
      <c r="L23" s="881"/>
      <c r="M23" s="882"/>
      <c r="N23" s="882"/>
      <c r="O23" s="882"/>
      <c r="P23" s="882"/>
      <c r="Q23" s="883"/>
      <c r="R23" s="866"/>
      <c r="S23" s="866"/>
      <c r="T23" s="866"/>
      <c r="U23" s="866"/>
      <c r="V23" s="866"/>
      <c r="W23" s="866"/>
      <c r="X23" s="866"/>
      <c r="Y23" s="866"/>
      <c r="Z23" s="866"/>
      <c r="AA23" s="866"/>
      <c r="AB23" s="866"/>
      <c r="AC23" s="866"/>
      <c r="AD23" s="866"/>
      <c r="AE23" s="866"/>
    </row>
    <row r="24" spans="1:31" ht="61.5" customHeight="1" x14ac:dyDescent="0.3">
      <c r="A24" s="125" t="s">
        <v>37</v>
      </c>
      <c r="B24" s="842">
        <f>F12</f>
        <v>53.333333333333343</v>
      </c>
      <c r="C24" s="843"/>
      <c r="D24" s="844" t="s">
        <v>209</v>
      </c>
      <c r="E24" s="845"/>
      <c r="F24" s="846" t="s">
        <v>212</v>
      </c>
      <c r="G24" s="847"/>
      <c r="H24" s="847"/>
      <c r="I24" s="847"/>
      <c r="J24" s="847"/>
      <c r="K24" s="848"/>
      <c r="L24" s="881"/>
      <c r="M24" s="882"/>
      <c r="N24" s="882"/>
      <c r="O24" s="882"/>
      <c r="P24" s="882"/>
      <c r="Q24" s="883"/>
      <c r="R24" s="102"/>
      <c r="S24" s="102"/>
      <c r="T24" s="102"/>
      <c r="U24" s="102"/>
      <c r="V24" s="102"/>
      <c r="W24" s="102"/>
      <c r="X24" s="102"/>
      <c r="Y24" s="102"/>
      <c r="Z24" s="102"/>
      <c r="AA24" s="102"/>
      <c r="AB24" s="102"/>
      <c r="AC24" s="102"/>
      <c r="AD24" s="102"/>
      <c r="AE24" s="102"/>
    </row>
    <row r="25" spans="1:31" ht="61.5" customHeight="1" x14ac:dyDescent="0.3">
      <c r="A25" s="125" t="s">
        <v>38</v>
      </c>
      <c r="B25" s="842">
        <f>G12</f>
        <v>53.333333333333343</v>
      </c>
      <c r="C25" s="843"/>
      <c r="D25" s="844" t="s">
        <v>209</v>
      </c>
      <c r="E25" s="845"/>
      <c r="F25" s="849" t="s">
        <v>213</v>
      </c>
      <c r="G25" s="850"/>
      <c r="H25" s="850"/>
      <c r="I25" s="850"/>
      <c r="J25" s="850"/>
      <c r="K25" s="851"/>
      <c r="L25" s="881"/>
      <c r="M25" s="882"/>
      <c r="N25" s="882"/>
      <c r="O25" s="882"/>
      <c r="P25" s="882"/>
      <c r="Q25" s="883"/>
      <c r="R25" s="102"/>
      <c r="S25" s="102"/>
      <c r="T25" s="102"/>
      <c r="U25" s="102"/>
      <c r="V25" s="102"/>
      <c r="W25" s="102"/>
      <c r="X25" s="102"/>
      <c r="Y25" s="102"/>
      <c r="Z25" s="102"/>
      <c r="AA25" s="102"/>
      <c r="AB25" s="102"/>
      <c r="AC25" s="102"/>
      <c r="AD25" s="102"/>
      <c r="AE25" s="102"/>
    </row>
    <row r="26" spans="1:31" ht="45.75" customHeight="1" x14ac:dyDescent="0.3">
      <c r="A26" s="125" t="s">
        <v>39</v>
      </c>
      <c r="B26" s="842">
        <f>H12</f>
        <v>54.047619047619044</v>
      </c>
      <c r="C26" s="843"/>
      <c r="D26" s="844" t="s">
        <v>209</v>
      </c>
      <c r="E26" s="845"/>
      <c r="F26" s="852" t="s">
        <v>218</v>
      </c>
      <c r="G26" s="852"/>
      <c r="H26" s="852"/>
      <c r="I26" s="852"/>
      <c r="J26" s="852"/>
      <c r="K26" s="852"/>
      <c r="L26" s="881"/>
      <c r="M26" s="882"/>
      <c r="N26" s="882"/>
      <c r="O26" s="882"/>
      <c r="P26" s="882"/>
      <c r="Q26" s="883"/>
      <c r="R26" s="877"/>
      <c r="S26" s="877"/>
      <c r="T26" s="877"/>
      <c r="U26" s="877"/>
      <c r="V26" s="877"/>
      <c r="W26" s="877"/>
      <c r="X26" s="877"/>
      <c r="Y26" s="866"/>
      <c r="Z26" s="866"/>
      <c r="AA26" s="866"/>
      <c r="AB26" s="866"/>
      <c r="AC26" s="866"/>
      <c r="AD26" s="866"/>
      <c r="AE26" s="866"/>
    </row>
    <row r="27" spans="1:31" ht="45.75" customHeight="1" x14ac:dyDescent="0.3">
      <c r="A27" s="125" t="s">
        <v>40</v>
      </c>
      <c r="B27" s="842">
        <f>I12</f>
        <v>53.333333333333336</v>
      </c>
      <c r="C27" s="843"/>
      <c r="D27" s="844" t="s">
        <v>209</v>
      </c>
      <c r="E27" s="845"/>
      <c r="F27" s="846"/>
      <c r="G27" s="847"/>
      <c r="H27" s="847"/>
      <c r="I27" s="847"/>
      <c r="J27" s="847"/>
      <c r="K27" s="848"/>
      <c r="L27" s="881"/>
      <c r="M27" s="882"/>
      <c r="N27" s="882"/>
      <c r="O27" s="882"/>
      <c r="P27" s="882"/>
      <c r="Q27" s="883"/>
      <c r="R27" s="123"/>
      <c r="S27" s="123"/>
      <c r="T27" s="123"/>
      <c r="U27" s="123"/>
      <c r="V27" s="123"/>
      <c r="W27" s="123"/>
      <c r="X27" s="123"/>
      <c r="Y27" s="102"/>
      <c r="Z27" s="102"/>
      <c r="AA27" s="102"/>
      <c r="AB27" s="102"/>
      <c r="AC27" s="102"/>
      <c r="AD27" s="102"/>
      <c r="AE27" s="102"/>
    </row>
    <row r="28" spans="1:31" ht="48" customHeight="1" x14ac:dyDescent="0.3">
      <c r="A28" s="125" t="s">
        <v>43</v>
      </c>
      <c r="B28" s="842">
        <f>L12</f>
        <v>54.047619047619044</v>
      </c>
      <c r="C28" s="843"/>
      <c r="D28" s="844" t="s">
        <v>209</v>
      </c>
      <c r="E28" s="845"/>
      <c r="F28" s="852" t="s">
        <v>214</v>
      </c>
      <c r="G28" s="852"/>
      <c r="H28" s="852"/>
      <c r="I28" s="852"/>
      <c r="J28" s="852"/>
      <c r="K28" s="852"/>
      <c r="L28" s="881"/>
      <c r="M28" s="882"/>
      <c r="N28" s="882"/>
      <c r="O28" s="882"/>
      <c r="P28" s="882"/>
      <c r="Q28" s="883"/>
      <c r="R28" s="853"/>
      <c r="S28" s="853"/>
      <c r="T28" s="853"/>
      <c r="U28" s="853"/>
      <c r="V28" s="853"/>
      <c r="W28" s="853"/>
      <c r="X28" s="853"/>
      <c r="Y28" s="866"/>
      <c r="Z28" s="866"/>
      <c r="AA28" s="866"/>
      <c r="AB28" s="866"/>
      <c r="AC28" s="866"/>
      <c r="AD28" s="866"/>
      <c r="AE28" s="866"/>
    </row>
    <row r="29" spans="1:31" ht="48" customHeight="1" x14ac:dyDescent="0.3">
      <c r="A29" s="126" t="s">
        <v>44</v>
      </c>
      <c r="B29" s="842">
        <f>M12</f>
        <v>54.047619047619044</v>
      </c>
      <c r="C29" s="843"/>
      <c r="D29" s="844" t="s">
        <v>209</v>
      </c>
      <c r="E29" s="845"/>
      <c r="F29" s="849" t="s">
        <v>215</v>
      </c>
      <c r="G29" s="850"/>
      <c r="H29" s="850"/>
      <c r="I29" s="850"/>
      <c r="J29" s="850"/>
      <c r="K29" s="851"/>
      <c r="L29" s="881"/>
      <c r="M29" s="882"/>
      <c r="N29" s="882"/>
      <c r="O29" s="882"/>
      <c r="P29" s="882"/>
      <c r="Q29" s="883"/>
      <c r="R29" s="101"/>
      <c r="S29" s="101"/>
      <c r="T29" s="101"/>
      <c r="U29" s="101"/>
      <c r="V29" s="101"/>
      <c r="W29" s="101"/>
      <c r="X29" s="101"/>
      <c r="Y29" s="102"/>
      <c r="Z29" s="102"/>
      <c r="AA29" s="102"/>
      <c r="AB29" s="102"/>
      <c r="AC29" s="102"/>
      <c r="AD29" s="102"/>
      <c r="AE29" s="102"/>
    </row>
    <row r="30" spans="1:31" ht="44.25" customHeight="1" x14ac:dyDescent="0.3">
      <c r="A30" s="125" t="s">
        <v>47</v>
      </c>
      <c r="B30" s="842">
        <f>P12</f>
        <v>54.333333333333336</v>
      </c>
      <c r="C30" s="843"/>
      <c r="D30" s="844" t="s">
        <v>209</v>
      </c>
      <c r="E30" s="845"/>
      <c r="F30" s="852" t="s">
        <v>216</v>
      </c>
      <c r="G30" s="852"/>
      <c r="H30" s="852"/>
      <c r="I30" s="852"/>
      <c r="J30" s="852"/>
      <c r="K30" s="852"/>
      <c r="L30" s="881"/>
      <c r="M30" s="882"/>
      <c r="N30" s="882"/>
      <c r="O30" s="882"/>
      <c r="P30" s="882"/>
      <c r="Q30" s="883"/>
      <c r="R30" s="877"/>
      <c r="S30" s="877"/>
      <c r="T30" s="877"/>
      <c r="U30" s="877"/>
      <c r="V30" s="877"/>
      <c r="W30" s="877"/>
      <c r="X30" s="877"/>
      <c r="Y30" s="866"/>
      <c r="Z30" s="866"/>
      <c r="AA30" s="866"/>
      <c r="AB30" s="866"/>
      <c r="AC30" s="866"/>
      <c r="AD30" s="866"/>
      <c r="AE30" s="866"/>
    </row>
    <row r="31" spans="1:31" ht="45.75" customHeight="1" x14ac:dyDescent="0.3">
      <c r="A31" s="125" t="s">
        <v>48</v>
      </c>
      <c r="B31" s="842">
        <f>Q12</f>
        <v>53.333333333333336</v>
      </c>
      <c r="C31" s="843"/>
      <c r="D31" s="844" t="s">
        <v>209</v>
      </c>
      <c r="E31" s="845"/>
      <c r="F31" s="852" t="s">
        <v>217</v>
      </c>
      <c r="G31" s="852"/>
      <c r="H31" s="852"/>
      <c r="I31" s="852"/>
      <c r="J31" s="852"/>
      <c r="K31" s="852"/>
      <c r="L31" s="884"/>
      <c r="M31" s="885"/>
      <c r="N31" s="885"/>
      <c r="O31" s="885"/>
      <c r="P31" s="885"/>
      <c r="Q31" s="886"/>
      <c r="R31" s="866"/>
      <c r="S31" s="866"/>
      <c r="T31" s="866"/>
      <c r="U31" s="866"/>
      <c r="V31" s="866"/>
      <c r="W31" s="866"/>
      <c r="X31" s="866"/>
      <c r="Y31" s="866"/>
      <c r="Z31" s="866"/>
      <c r="AA31" s="866"/>
      <c r="AB31" s="866"/>
      <c r="AC31" s="866"/>
      <c r="AD31" s="866"/>
      <c r="AE31" s="866"/>
    </row>
    <row r="32" spans="1:31" ht="16.5" customHeight="1" x14ac:dyDescent="0.3"/>
    <row r="33" spans="2:22" s="1" customFormat="1" ht="14.25" customHeight="1" x14ac:dyDescent="0.3">
      <c r="C33" s="4"/>
      <c r="D33" s="18"/>
      <c r="E33" s="18"/>
      <c r="F33" s="4"/>
      <c r="G33" s="4"/>
      <c r="H33" s="19"/>
      <c r="I33" s="19"/>
      <c r="J33" s="19"/>
      <c r="K33" s="19"/>
      <c r="L33" s="19"/>
      <c r="M33" s="19"/>
      <c r="N33" s="19"/>
      <c r="V33"/>
    </row>
    <row r="34" spans="2:22" x14ac:dyDescent="0.3">
      <c r="V34" s="1"/>
    </row>
    <row r="36" spans="2:22" s="106" customFormat="1" ht="17.399999999999999" x14ac:dyDescent="0.3">
      <c r="B36" s="106" t="s">
        <v>171</v>
      </c>
      <c r="H36" s="106" t="s">
        <v>172</v>
      </c>
      <c r="N36" s="709" t="s">
        <v>173</v>
      </c>
      <c r="O36" s="709"/>
      <c r="P36" s="709"/>
    </row>
    <row r="52" spans="18:18" x14ac:dyDescent="0.3">
      <c r="R52" t="s">
        <v>92</v>
      </c>
    </row>
  </sheetData>
  <mergeCells count="67">
    <mergeCell ref="Y21:AE21"/>
    <mergeCell ref="R23:X23"/>
    <mergeCell ref="Y22:AE22"/>
    <mergeCell ref="F23:K23"/>
    <mergeCell ref="N36:P36"/>
    <mergeCell ref="Y30:AE30"/>
    <mergeCell ref="R31:X31"/>
    <mergeCell ref="Y31:AE31"/>
    <mergeCell ref="Y26:AE26"/>
    <mergeCell ref="Y28:AE28"/>
    <mergeCell ref="R26:X26"/>
    <mergeCell ref="R30:X30"/>
    <mergeCell ref="L22:Q31"/>
    <mergeCell ref="Y23:AE23"/>
    <mergeCell ref="F27:K27"/>
    <mergeCell ref="B2:C2"/>
    <mergeCell ref="B5:C5"/>
    <mergeCell ref="R22:X22"/>
    <mergeCell ref="B22:C22"/>
    <mergeCell ref="B1:Q1"/>
    <mergeCell ref="M20:AE20"/>
    <mergeCell ref="A16:B16"/>
    <mergeCell ref="C16:I16"/>
    <mergeCell ref="B7:Q7"/>
    <mergeCell ref="A20:K20"/>
    <mergeCell ref="A19:L19"/>
    <mergeCell ref="B12:C12"/>
    <mergeCell ref="R21:X21"/>
    <mergeCell ref="A17:B17"/>
    <mergeCell ref="L21:Q21"/>
    <mergeCell ref="C17:I17"/>
    <mergeCell ref="A14:I14"/>
    <mergeCell ref="A15:B15"/>
    <mergeCell ref="C15:I15"/>
    <mergeCell ref="B21:C21"/>
    <mergeCell ref="B26:C26"/>
    <mergeCell ref="B23:C23"/>
    <mergeCell ref="D23:E23"/>
    <mergeCell ref="D22:E22"/>
    <mergeCell ref="A18:B18"/>
    <mergeCell ref="C18:I18"/>
    <mergeCell ref="F21:K21"/>
    <mergeCell ref="F22:K22"/>
    <mergeCell ref="F26:K26"/>
    <mergeCell ref="D21:E21"/>
    <mergeCell ref="B24:C24"/>
    <mergeCell ref="B25:C25"/>
    <mergeCell ref="B31:C31"/>
    <mergeCell ref="F28:K28"/>
    <mergeCell ref="F30:K30"/>
    <mergeCell ref="F31:K31"/>
    <mergeCell ref="R28:X28"/>
    <mergeCell ref="B30:C30"/>
    <mergeCell ref="D31:E31"/>
    <mergeCell ref="B29:C29"/>
    <mergeCell ref="D29:E29"/>
    <mergeCell ref="F29:K29"/>
    <mergeCell ref="D30:E30"/>
    <mergeCell ref="B28:C28"/>
    <mergeCell ref="D28:E28"/>
    <mergeCell ref="B27:C27"/>
    <mergeCell ref="D27:E27"/>
    <mergeCell ref="D24:E24"/>
    <mergeCell ref="D25:E25"/>
    <mergeCell ref="F24:K24"/>
    <mergeCell ref="F25:K25"/>
    <mergeCell ref="D26:E26"/>
  </mergeCells>
  <pageMargins left="0.7" right="0.7" top="0.24" bottom="0.39" header="0.3" footer="0.3"/>
  <pageSetup paperSize="9" scale="76" fitToHeight="0" orientation="landscape" r:id="rId1"/>
  <rowBreaks count="1" manualBreakCount="1">
    <brk id="27" max="16"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75CFA25-888E-4421-9EBF-890BAA2E4109}">
  <ds:schemaRefs>
    <ds:schemaRef ds:uri="http://schemas.microsoft.com/DataMashup"/>
  </ds:schemaRefs>
</ds:datastoreItem>
</file>

<file path=docMetadata/LabelInfo.xml><?xml version="1.0" encoding="utf-8"?>
<clbl:labelList xmlns:clbl="http://schemas.microsoft.com/office/2020/mipLabelMetadata">
  <clbl:label id="{9d258917-277f-42cd-a3cd-14c4e9ee58bc}" enabled="1" method="Standard" siteId="{38ae3bcd-9579-4fd4-adda-b42e1495d55a}"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12</vt:i4>
      </vt:variant>
      <vt:variant>
        <vt:lpstr>Named Ranges</vt:lpstr>
      </vt:variant>
      <vt:variant>
        <vt:i4>7</vt:i4>
      </vt:variant>
    </vt:vector>
  </HeadingPairs>
  <TitlesOfParts>
    <vt:vector size="19" baseType="lpstr">
      <vt:lpstr>README</vt:lpstr>
      <vt:lpstr>Teaching and Evaluation Scheme</vt:lpstr>
      <vt:lpstr>CO_PO_Matrix</vt:lpstr>
      <vt:lpstr>CO_PO_Mapping</vt:lpstr>
      <vt:lpstr>Rubrics</vt:lpstr>
      <vt:lpstr>RAW</vt:lpstr>
      <vt:lpstr>CO_Attainment</vt:lpstr>
      <vt:lpstr>Action_Taken </vt:lpstr>
      <vt:lpstr>Dashboard</vt:lpstr>
      <vt:lpstr>Sheet2</vt:lpstr>
      <vt:lpstr>ATTAINMENT</vt:lpstr>
      <vt:lpstr>Observation and action taken</vt:lpstr>
      <vt:lpstr>ATTAINMENT!Print_Area</vt:lpstr>
      <vt:lpstr>CO_PO_Mapping!Print_Area</vt:lpstr>
      <vt:lpstr>'Observation and action taken'!Print_Area</vt:lpstr>
      <vt:lpstr>RAW!Print_Area</vt:lpstr>
      <vt:lpstr>Rubrics!Print_Area</vt:lpstr>
      <vt:lpstr>'Teaching and Evaluation Scheme'!Print_Area</vt:lpstr>
      <vt:lpstr>RAW!Print_Titles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2026-09-29T09:54:05Z</dcterms:modified>
</cp:coreProperties>
</file>